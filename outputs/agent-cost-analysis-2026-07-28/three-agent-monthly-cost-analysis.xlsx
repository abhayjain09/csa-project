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worksheets/sheet4.xml" ContentType="application/vnd.openxmlformats-officedocument.spreadsheetml.worksheet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d94db1dae64b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5c10eec0d26147e3"/>
    <x:sheet xmlns:r="http://schemas.openxmlformats.org/officeDocument/2006/relationships" name="Assumptions" sheetId="2" r:id="R83ca84b9ea394a78"/>
    <x:sheet xmlns:r="http://schemas.openxmlformats.org/officeDocument/2006/relationships" name="Model Cost" sheetId="3" r:id="Rb660a483c9c14f99"/>
    <x:sheet xmlns:r="http://schemas.openxmlformats.org/officeDocument/2006/relationships" name="Infra Cost" sheetId="4" r:id="Rdc3549657f09415b"/>
    <x:sheet xmlns:r="http://schemas.openxmlformats.org/officeDocument/2006/relationships" name="Sensitivity" sheetId="5" r:id="R36762f52cd3240ec"/>
    <x:sheet xmlns:r="http://schemas.openxmlformats.org/officeDocument/2006/relationships" name="Scenario Comparison" sheetId="6" r:id="R679f6febcec44c21"/>
    <x:sheet xmlns:r="http://schemas.openxmlformats.org/officeDocument/2006/relationships" name="Checks" sheetId="7" r:id="Rcb20e0a3dfad4877"/>
    <x:sheet xmlns:r="http://schemas.openxmlformats.org/officeDocument/2006/relationships" name="Sources" sheetId="8" r:id="R34a1191cd5b24a63"/>
  </x:sheets>
</x:workbook>
</file>

<file path=xl/comments1.xml><?xml version="1.0" encoding="utf-8"?>
<x:comments xmlns:x="http://schemas.openxmlformats.org/spreadsheetml/2006/main">
  <x:authors>
    <x:author>tc={D6DA0F63-E440-FC44-6694-F18E59CD216A}</x:author>
    <x:author>tc={D8D44390-1647-DCB2-F529-95068F448F15}</x:author>
    <x:author>tc={B1144FCD-652E-9A8E-A82D-DE464054EA92}</x:author>
    <x:author>tc={A934057D-0C3E-85EF-04FF-9C5C2D7FD43F}</x:author>
  </x:authors>
  <x:commentList>
    <x:comment ref="B8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Assumption: 20 companies/month for the average case. Replace with actual monthly cohort volume.</x:t>
        </x:r>
      </x:text>
    </x:comment>
    <x:comment ref="B9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Assumption: 12 reports/company. The download and PageIndex agents both scale with this driver.</x:t>
        </x:r>
      </x:text>
    </x:comment>
    <x:comment ref="B11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Assumption: 50 questionnaire questions/company. The answering agent processes one ReAct loop per question block.</x:t>
        </x:r>
      </x:text>
    </x:comment>
    <x:comment ref="G28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Estimate: PageIndex fixed 25K input tokens plus 900 input tokens/page. The PageIndex library is absent locally, so replace with Bedrock usage telemetry after a representative run.</x:t>
        </x:r>
      </x:text>
    </x:comment>
  </x:commentList>
</x:comments>
</file>

<file path=xl/comments2.xml><?xml version="1.0" encoding="utf-8"?>
<x:comments xmlns:x="http://schemas.openxmlformats.org/spreadsheetml/2006/main">
  <x:authors>
    <x:author>tc={F3508F0F-0441-25E7-E347-12766E130E8E}</x:author>
    <x:author>tc={6BAB9807-54F7-1ED3-CFB5-DD0CB800C699}</x:author>
  </x:authors>
  <x:commentList>
    <x:comment ref="B6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https://aws.amazon.com/bedrock/pricing/ | Claude Sonnet 5 launch pricing through 2026-08-31.</x:t>
        </x:r>
      </x:text>
    </x:comment>
    <x:comment ref="C8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https://cloud.google.com/vertex-ai/generative-ai/pricing | Uses thinking-output price because code does not set thinkingBudget=0.</x:t>
        </x:r>
      </x:text>
    </x:comment>
  </x:commentList>
</x:comments>
</file>

<file path=xl/comments3.xml><?xml version="1.0" encoding="utf-8"?>
<x:comments xmlns:x="http://schemas.openxmlformats.org/spreadsheetml/2006/main">
  <x:authors>
    <x:author>tc={E13CF248-792A-E18B-0A28-12B53A6DBCF9}</x:author>
    <x:author>tc={6E1687E1-CB93-963D-A612-902903537250}</x:author>
  </x:authors>
  <x:commentList>
    <x:comment ref="B6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https://aws.amazon.com/bedrock/agentcore/pricing/</x:t>
        </x:r>
      </x:text>
    </x:comment>
    <x:comment ref="B10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https://aws.amazon.com/lambda/pricing/ | ARM first-tier duration rate.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"/>
    <x:numFmt numFmtId="201" formatCode="#,##0;[Red](#,##0);-"/>
    <x:numFmt numFmtId="202" formatCode="#,##0.00;[Red](#,##0.00);-"/>
    <x:numFmt numFmtId="203" formatCode="0.0%;[Red](0.0%);-"/>
    <x:numFmt numFmtId="204" formatCode="$0.00"/>
    <x:numFmt numFmtId="205" formatCode="$#,##0.00;[Red]($#,##0.00);-"/>
    <x:numFmt numFmtId="206" formatCode="$0.000000"/>
    <x:numFmt numFmtId="207" formatCode="$0.0000;[Red]($0.0000);-"/>
  </x:numFmts>
  <x:fonts count="34">
    <x:font>
      <x:sz val="11"/>
      <x:name val="Carlito"/>
    </x:font>
    <x:font>
      <x:b/>
      <x:sz val="18"/>
      <x:color rgb="FFFFFFFF"/>
      <x:name val="Carlito"/>
    </x:font>
    <x:font>
      <x:i/>
      <x:sz val="10"/>
      <x:color rgb="FF667085"/>
      <x:name val="Carlito"/>
    </x:font>
    <x:font>
      <x:b/>
      <x:sz val="11"/>
      <x:color rgb="FFFFFFFF"/>
      <x:name val="Carlito"/>
    </x:font>
    <x:font>
      <x:b/>
      <x:sz val="11"/>
      <x:color rgb="FF17324D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8"/>
      <x:color rgb="FFFFFFFF"/>
      <x:name val="Aptos"/>
    </x:font>
    <x:font>
      <x:i/>
      <x:sz val="10"/>
      <x:color rgb="FF667085"/>
      <x:name val="Aptos"/>
    </x:font>
    <x:font>
      <x:sz val="11"/>
      <x:name val="Aptos"/>
    </x:font>
    <x:font>
      <x:b/>
      <x:sz val="11"/>
      <x:color rgb="FFFFFFFF"/>
      <x:name val="Aptos"/>
    </x:font>
    <x:font>
      <x:b/>
      <x:sz val="11"/>
      <x:color rgb="FF17324D"/>
      <x:name val="Aptos"/>
    </x:font>
    <x:font>
      <x:sz val="11"/>
      <x:color rgb="FF0000FF"/>
      <x:name val="Aptos"/>
    </x:font>
    <x:font>
      <x:sz val="11"/>
      <x:color rgb="FF000000"/>
      <x:name val="Aptos"/>
    </x:font>
    <x:font>
      <x:b/>
      <x:sz val="11"/>
      <x:color rgb="FF000000"/>
      <x:name val="Carlito"/>
    </x:font>
    <x:font>
      <x:sz val="11"/>
      <x:color rgb="FF008000"/>
      <x:name val="Carlito"/>
    </x:font>
    <x:font>
      <x:sz val="11"/>
      <x:color rgb="FF008000"/>
      <x:name val="Aptos"/>
    </x:font>
    <x:font>
      <x:b/>
      <x:sz val="11"/>
      <x:color rgb="FF000000"/>
      <x:name val="Aptos"/>
    </x:font>
    <x:font>
      <x:b/>
      <x:sz val="20"/>
      <x:color rgb="FF008000"/>
      <x:name val="Carlito"/>
    </x:font>
    <x:font>
      <x:b/>
      <x:sz val="20"/>
      <x:color rgb="FF0F766E"/>
      <x:name val="Carlito"/>
    </x:font>
    <x:font>
      <x:b/>
      <x:sz val="13"/>
      <x:color rgb="FF008000"/>
      <x:name val="Carlito"/>
    </x:font>
    <x:font>
      <x:sz val="11"/>
      <x:color rgb="FF667085"/>
      <x:name val="Carlito"/>
    </x:font>
    <x:font>
      <x:sz val="11"/>
      <x:color rgb="FF17324D"/>
      <x:name val="Carlito"/>
    </x:font>
    <x:font>
      <x:b/>
      <x:sz val="20"/>
      <x:color rgb="FF008000"/>
      <x:name val="Aptos"/>
    </x:font>
    <x:font>
      <x:b/>
      <x:sz val="20"/>
      <x:color rgb="FF0F766E"/>
      <x:name val="Aptos"/>
    </x:font>
    <x:font>
      <x:b/>
      <x:sz val="13"/>
      <x:color rgb="FF008000"/>
      <x:name val="Aptos"/>
    </x:font>
    <x:font>
      <x:sz val="11"/>
      <x:color rgb="FF667085"/>
      <x:name val="Aptos"/>
    </x:font>
    <x:font>
      <x:sz val="11"/>
      <x:color rgb="FF17324D"/>
      <x:name val="Aptos"/>
    </x:font>
    <x:font>
      <x:b/>
      <x:sz val="11"/>
      <x:color rgb="FF008000"/>
      <x:name val="Carlito"/>
    </x:font>
    <x:font>
      <x:b/>
      <x:sz val="11"/>
      <x:color rgb="FF008000"/>
      <x:name val="Aptos"/>
    </x:font>
    <x:font>
      <x:b/>
      <x:sz val="13"/>
      <x:color rgb="FFFFFFFF"/>
      <x:name val="Carlito"/>
    </x:font>
    <x:font>
      <x:i/>
      <x:sz val="11"/>
      <x:color rgb="FF667085"/>
      <x:name val="Carlito"/>
    </x:font>
    <x:font>
      <x:b/>
      <x:sz val="13"/>
      <x:color rgb="FFFFFFFF"/>
      <x:name val="Aptos"/>
    </x:font>
    <x:font>
      <x:i/>
      <x:sz val="11"/>
      <x:color rgb="FF667085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5F8FB"/>
      </x:patternFill>
    </x:fill>
    <x:fill>
      <x:patternFill patternType="solid">
        <x:fgColor rgb="FF1F4E78"/>
      </x:patternFill>
    </x:fill>
    <x:fill>
      <x:patternFill patternType="solid">
        <x:fgColor rgb="FFDCEAF7"/>
      </x:patternFill>
    </x:fill>
    <x:fill>
      <x:patternFill patternType="solid">
        <x:fgColor rgb="FFDDF3EF"/>
      </x:patternFill>
    </x:fill>
    <x:fill>
      <x:patternFill patternType="solid">
        <x:fgColor rgb="FFFFF2CC"/>
      </x:patternFill>
    </x:fill>
  </x:fills>
  <x:borders count="15">
    <x:border/>
    <x:border>
      <x:bottom style="medium">
        <x:color rgb="FF1F4E78"/>
      </x:bottom>
    </x:border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top style="thin">
        <x:color rgb="FFCBD5E1"/>
      </x:top>
      <x:bottom style="medium">
        <x:color rgb="FF1F4E78"/>
      </x:bottom>
    </x:border>
    <x:border>
      <x:top style="double">
        <x:color rgb="FF0F766E"/>
      </x:top>
    </x:border>
    <x:border>
      <x:left style="medium">
        <x:color rgb="FFCBD5E1"/>
      </x:left>
      <x:right style="medium">
        <x:color rgb="FFCBD5E1"/>
      </x:right>
      <x:top style="medium">
        <x:color rgb="FFCBD5E1"/>
      </x:top>
      <x:bottom style="medium">
        <x:color rgb="FFCBD5E1"/>
      </x:bottom>
    </x:border>
    <x:border>
      <x:left style="thin">
        <x:color rgb="FFD9A441"/>
      </x:left>
      <x:top style="thin">
        <x:color rgb="FFD9A441"/>
      </x:top>
    </x:border>
    <x:border>
      <x:top style="thin">
        <x:color rgb="FFD9A441"/>
      </x:top>
    </x:border>
    <x:border>
      <x:right style="thin">
        <x:color rgb="FFD9A441"/>
      </x:right>
      <x:top style="thin">
        <x:color rgb="FFD9A441"/>
      </x:top>
    </x:border>
    <x:border>
      <x:left style="thin">
        <x:color rgb="FFD9A441"/>
      </x:left>
    </x:border>
    <x:border>
      <x:right style="thin">
        <x:color rgb="FFD9A441"/>
      </x:right>
    </x:border>
    <x:border>
      <x:left style="thin">
        <x:color rgb="FFD9A441"/>
      </x:left>
      <x:bottom style="thin">
        <x:color rgb="FFD9A441"/>
      </x:bottom>
    </x:border>
    <x:border>
      <x:bottom style="thin">
        <x:color rgb="FFD9A441"/>
      </x:bottom>
    </x:border>
    <x:border>
      <x:right style="thin">
        <x:color rgb="FFD9A441"/>
      </x:right>
      <x:bottom style="thin">
        <x:color rgb="FFD9A441"/>
      </x:bottom>
    </x:border>
  </x:borders>
  <x:cellStyleXfs count="1">
    <x:xf numFmtId="0" fontId="0" fillId="0" borderId="0"/>
  </x:cellStyleXfs>
  <x:cellXfs count="35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2" fontId="6" fillId="0" borderId="0" xfId="0" applyNumberFormat="1" applyFont="1" applyFill="1" applyBorder="1"/>
    <x:xf numFmtId="0" fontId="4" fillId="5" borderId="2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/>
    <x:xf numFmtId="200" fontId="5" fillId="0" borderId="3" xfId="0" applyNumberFormat="1" applyFont="1" applyFill="1" applyBorder="1"/>
    <x:xf numFmtId="201" fontId="5" fillId="0" borderId="3" xfId="0" applyNumberFormat="1" applyFont="1" applyFill="1" applyBorder="1"/>
    <x:xf numFmtId="202" fontId="6" fillId="0" borderId="3" xfId="0" applyNumberFormat="1" applyFont="1" applyFill="1" applyBorder="1"/>
    <x:xf numFmtId="202" fontId="5" fillId="0" borderId="3" xfId="0" applyNumberFormat="1" applyFont="1" applyFill="1" applyBorder="1"/>
    <x:xf numFmtId="0" fontId="0" fillId="0" borderId="4" xfId="0" applyNumberFormat="1" applyFont="1" applyFill="1" applyBorder="1"/>
    <x:xf numFmtId="202" fontId="5" fillId="0" borderId="4" xfId="0" applyNumberFormat="1" applyFont="1" applyFill="1" applyBorder="1"/>
    <x:xf numFmtId="201" fontId="6" fillId="0" borderId="0" xfId="0" applyNumberFormat="1" applyFont="1" applyFill="1" applyBorder="1"/>
    <x:xf numFmtId="201" fontId="0" fillId="0" borderId="3" xfId="0" applyNumberFormat="1" applyFont="1" applyFill="1" applyBorder="1"/>
    <x:xf numFmtId="201" fontId="6" fillId="0" borderId="3" xfId="0" applyNumberFormat="1" applyFont="1" applyFill="1" applyBorder="1"/>
    <x:xf numFmtId="201" fontId="0" fillId="0" borderId="4" xfId="0" applyNumberFormat="1" applyFont="1" applyFill="1" applyBorder="1"/>
    <x:xf numFmtId="201" fontId="5" fillId="0" borderId="4" xfId="0" applyNumberFormat="1" applyFont="1" applyFill="1" applyBorder="1"/>
    <x:xf numFmtId="0" fontId="5" fillId="0" borderId="0" xfId="0" applyNumberFormat="1" applyFont="1" applyFill="1" applyBorder="1"/>
    <x:xf numFmtId="203" fontId="5" fillId="0" borderId="0" xfId="0" applyNumberFormat="1" applyFont="1" applyFill="1" applyBorder="1"/>
    <x:xf numFmtId="203" fontId="5" fillId="0" borderId="3" xfId="0" applyNumberFormat="1" applyFont="1" applyFill="1" applyBorder="1"/>
    <x:xf numFmtId="0" fontId="7" fillId="2" borderId="0" xfId="0" applyNumberFormat="1" applyFont="1" applyFill="1" applyBorder="1" applyAlignment="1">
      <x:alignment horizontal="left" vertical="center"/>
    </x:xf>
    <x:xf numFmtId="0" fontId="8" fillId="3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/>
    <x:xf numFmtId="0" fontId="10" fillId="4" borderId="0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 wrapText="1"/>
    </x:xf>
    <x:xf numFmtId="0" fontId="9" fillId="0" borderId="3" xfId="0" applyNumberFormat="1" applyFont="1" applyFill="1" applyBorder="1"/>
    <x:xf numFmtId="200" fontId="12" fillId="0" borderId="3" xfId="0" applyNumberFormat="1" applyFont="1" applyFill="1" applyBorder="1"/>
    <x:xf numFmtId="201" fontId="12" fillId="0" borderId="3" xfId="0" applyNumberFormat="1" applyFont="1" applyFill="1" applyBorder="1"/>
    <x:xf numFmtId="202" fontId="13" fillId="0" borderId="3" xfId="0" applyNumberFormat="1" applyFont="1" applyFill="1" applyBorder="1"/>
    <x:xf numFmtId="202" fontId="12" fillId="0" borderId="3" xfId="0" applyNumberFormat="1" applyFont="1" applyFill="1" applyBorder="1"/>
    <x:xf numFmtId="0" fontId="9" fillId="0" borderId="4" xfId="0" applyNumberFormat="1" applyFont="1" applyFill="1" applyBorder="1"/>
    <x:xf numFmtId="202" fontId="12" fillId="0" borderId="4" xfId="0" applyNumberFormat="1" applyFont="1" applyFill="1" applyBorder="1"/>
    <x:xf numFmtId="201" fontId="9" fillId="0" borderId="3" xfId="0" applyNumberFormat="1" applyFont="1" applyFill="1" applyBorder="1"/>
    <x:xf numFmtId="201" fontId="13" fillId="0" borderId="3" xfId="0" applyNumberFormat="1" applyFont="1" applyFill="1" applyBorder="1"/>
    <x:xf numFmtId="201" fontId="9" fillId="0" borderId="4" xfId="0" applyNumberFormat="1" applyFont="1" applyFill="1" applyBorder="1"/>
    <x:xf numFmtId="201" fontId="12" fillId="0" borderId="4" xfId="0" applyNumberFormat="1" applyFont="1" applyFill="1" applyBorder="1"/>
    <x:xf numFmtId="203" fontId="12" fillId="0" borderId="3" xfId="0" applyNumberFormat="1" applyFont="1" applyFill="1" applyBorder="1"/>
    <x:xf numFmtId="0" fontId="9" fillId="0" borderId="0" xfId="0" applyNumberFormat="1" applyFont="1" applyFill="1" applyBorder="1" applyAlignment="1">
      <x:alignment vertical="center"/>
    </x:xf>
    <x:xf numFmtId="0" fontId="9" fillId="0" borderId="3" xfId="0" applyNumberFormat="1" applyFont="1" applyFill="1" applyBorder="1" applyAlignment="1">
      <x:alignment vertical="center"/>
    </x:xf>
    <x:xf numFmtId="200" fontId="12" fillId="0" borderId="3" xfId="0" applyNumberFormat="1" applyFont="1" applyFill="1" applyBorder="1" applyAlignment="1">
      <x:alignment vertical="center"/>
    </x:xf>
    <x:xf numFmtId="201" fontId="12" fillId="0" borderId="3" xfId="0" applyNumberFormat="1" applyFont="1" applyFill="1" applyBorder="1" applyAlignment="1">
      <x:alignment vertical="center"/>
    </x:xf>
    <x:xf numFmtId="202" fontId="13" fillId="0" borderId="3" xfId="0" applyNumberFormat="1" applyFont="1" applyFill="1" applyBorder="1" applyAlignment="1">
      <x:alignment vertical="center"/>
    </x:xf>
    <x:xf numFmtId="202" fontId="12" fillId="0" borderId="3" xfId="0" applyNumberFormat="1" applyFont="1" applyFill="1" applyBorder="1" applyAlignment="1">
      <x:alignment vertical="center"/>
    </x:xf>
    <x:xf numFmtId="0" fontId="9" fillId="0" borderId="4" xfId="0" applyNumberFormat="1" applyFont="1" applyFill="1" applyBorder="1" applyAlignment="1">
      <x:alignment vertical="center"/>
    </x:xf>
    <x:xf numFmtId="202" fontId="12" fillId="0" borderId="4" xfId="0" applyNumberFormat="1" applyFont="1" applyFill="1" applyBorder="1" applyAlignment="1">
      <x:alignment vertical="center"/>
    </x:xf>
    <x:xf numFmtId="201" fontId="9" fillId="0" borderId="3" xfId="0" applyNumberFormat="1" applyFont="1" applyFill="1" applyBorder="1" applyAlignment="1">
      <x:alignment vertical="center"/>
    </x:xf>
    <x:xf numFmtId="201" fontId="13" fillId="0" borderId="3" xfId="0" applyNumberFormat="1" applyFont="1" applyFill="1" applyBorder="1" applyAlignment="1">
      <x:alignment vertical="center"/>
    </x:xf>
    <x:xf numFmtId="201" fontId="9" fillId="0" borderId="4" xfId="0" applyNumberFormat="1" applyFont="1" applyFill="1" applyBorder="1" applyAlignment="1">
      <x:alignment vertical="center"/>
    </x:xf>
    <x:xf numFmtId="201" fontId="12" fillId="0" borderId="4" xfId="0" applyNumberFormat="1" applyFont="1" applyFill="1" applyBorder="1" applyAlignment="1">
      <x:alignment vertical="center"/>
    </x:xf>
    <x:xf numFmtId="203" fontId="12" fillId="0" borderId="3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horizontal="left" vertical="center" wrapText="1"/>
    </x:xf>
    <x:xf numFmtId="0" fontId="9" fillId="0" borderId="0" xfId="0" applyNumberFormat="1" applyFont="1" applyFill="1" applyBorder="1" applyAlignment="1">
      <x:alignment vertical="center" wrapText="1"/>
    </x:xf>
    <x:xf numFmtId="0" fontId="10" fillId="4" borderId="0" xfId="0" applyNumberFormat="1" applyFont="1" applyFill="1" applyBorder="1" applyAlignment="1">
      <x:alignment vertical="center" wrapText="1"/>
    </x:xf>
    <x:xf numFmtId="0" fontId="9" fillId="0" borderId="3" xfId="0" applyNumberFormat="1" applyFont="1" applyFill="1" applyBorder="1" applyAlignment="1">
      <x:alignment vertical="center" wrapText="1"/>
    </x:xf>
    <x:xf numFmtId="200" fontId="12" fillId="0" borderId="3" xfId="0" applyNumberFormat="1" applyFont="1" applyFill="1" applyBorder="1" applyAlignment="1">
      <x:alignment vertical="center" wrapText="1"/>
    </x:xf>
    <x:xf numFmtId="201" fontId="12" fillId="0" borderId="3" xfId="0" applyNumberFormat="1" applyFont="1" applyFill="1" applyBorder="1" applyAlignment="1">
      <x:alignment vertical="center" wrapText="1"/>
    </x:xf>
    <x:xf numFmtId="202" fontId="13" fillId="0" borderId="3" xfId="0" applyNumberFormat="1" applyFont="1" applyFill="1" applyBorder="1" applyAlignment="1">
      <x:alignment vertical="center" wrapText="1"/>
    </x:xf>
    <x:xf numFmtId="202" fontId="12" fillId="0" borderId="3" xfId="0" applyNumberFormat="1" applyFont="1" applyFill="1" applyBorder="1" applyAlignment="1">
      <x:alignment vertical="center" wrapText="1"/>
    </x:xf>
    <x:xf numFmtId="0" fontId="9" fillId="0" borderId="4" xfId="0" applyNumberFormat="1" applyFont="1" applyFill="1" applyBorder="1" applyAlignment="1">
      <x:alignment vertical="center" wrapText="1"/>
    </x:xf>
    <x:xf numFmtId="202" fontId="12" fillId="0" borderId="4" xfId="0" applyNumberFormat="1" applyFont="1" applyFill="1" applyBorder="1" applyAlignment="1">
      <x:alignment vertical="center" wrapText="1"/>
    </x:xf>
    <x:xf numFmtId="201" fontId="9" fillId="0" borderId="3" xfId="0" applyNumberFormat="1" applyFont="1" applyFill="1" applyBorder="1" applyAlignment="1">
      <x:alignment vertical="center" wrapText="1"/>
    </x:xf>
    <x:xf numFmtId="201" fontId="13" fillId="0" borderId="3" xfId="0" applyNumberFormat="1" applyFont="1" applyFill="1" applyBorder="1" applyAlignment="1">
      <x:alignment vertical="center" wrapText="1"/>
    </x:xf>
    <x:xf numFmtId="201" fontId="9" fillId="0" borderId="4" xfId="0" applyNumberFormat="1" applyFont="1" applyFill="1" applyBorder="1" applyAlignment="1">
      <x:alignment vertical="center" wrapText="1"/>
    </x:xf>
    <x:xf numFmtId="201" fontId="12" fillId="0" borderId="4" xfId="0" applyNumberFormat="1" applyFont="1" applyFill="1" applyBorder="1" applyAlignment="1">
      <x:alignment vertical="center" wrapText="1"/>
    </x:xf>
    <x:xf numFmtId="203" fontId="12" fillId="0" borderId="3" xfId="0" applyNumberFormat="1" applyFont="1" applyFill="1" applyBorder="1" applyAlignment="1">
      <x:alignment vertical="center" wrapText="1"/>
    </x:xf>
    <x:xf numFmtId="204" fontId="0" fillId="0" borderId="0" xfId="0" applyNumberFormat="1" applyFont="1" applyFill="1" applyBorder="1"/>
    <x:xf numFmtId="204" fontId="5" fillId="0" borderId="0" xfId="0" applyNumberFormat="1" applyFont="1" applyFill="1" applyBorder="1"/>
    <x:xf numFmtId="0" fontId="4" fillId="0" borderId="0" xfId="0" applyNumberFormat="1" applyFont="1" applyFill="1" applyBorder="1"/>
    <x:xf numFmtId="0" fontId="0" fillId="6" borderId="0" xfId="0" applyNumberFormat="1" applyFont="1" applyFill="1" applyBorder="1"/>
    <x:xf numFmtId="0" fontId="14" fillId="6" borderId="0" xfId="0" applyNumberFormat="1" applyFont="1" applyFill="1" applyBorder="1"/>
    <x:xf numFmtId="0" fontId="14" fillId="6" borderId="5" xfId="0" applyNumberFormat="1" applyFont="1" applyFill="1" applyBorder="1"/>
    <x:xf numFmtId="201" fontId="14" fillId="6" borderId="5" xfId="0" applyNumberFormat="1" applyFont="1" applyFill="1" applyBorder="1"/>
    <x:xf numFmtId="205" fontId="0" fillId="0" borderId="0" xfId="0" applyNumberFormat="1" applyFont="1" applyFill="1" applyBorder="1"/>
    <x:xf numFmtId="205" fontId="14" fillId="6" borderId="5" xfId="0" applyNumberFormat="1" applyFont="1" applyFill="1" applyBorder="1"/>
    <x:xf numFmtId="201" fontId="15" fillId="0" borderId="0" xfId="0" applyNumberFormat="1" applyFont="1" applyFill="1" applyBorder="1"/>
    <x:xf numFmtId="201" fontId="15" fillId="0" borderId="3" xfId="0" applyNumberFormat="1" applyFont="1" applyFill="1" applyBorder="1"/>
    <x:xf numFmtId="204" fontId="0" fillId="0" borderId="3" xfId="0" applyNumberFormat="1" applyFont="1" applyFill="1" applyBorder="1"/>
    <x:xf numFmtId="205" fontId="0" fillId="0" borderId="3" xfId="0" applyNumberFormat="1" applyFont="1" applyFill="1" applyBorder="1"/>
    <x:xf numFmtId="0" fontId="14" fillId="6" borderId="4" xfId="0" applyNumberFormat="1" applyFont="1" applyFill="1" applyBorder="1"/>
    <x:xf numFmtId="201" fontId="14" fillId="6" borderId="4" xfId="0" applyNumberFormat="1" applyFont="1" applyFill="1" applyBorder="1"/>
    <x:xf numFmtId="205" fontId="14" fillId="6" borderId="4" xfId="0" applyNumberFormat="1" applyFont="1" applyFill="1" applyBorder="1"/>
    <x:xf numFmtId="0" fontId="10" fillId="4" borderId="0" xfId="0" applyNumberFormat="1" applyFont="1" applyFill="1" applyBorder="1"/>
    <x:xf numFmtId="0" fontId="11" fillId="5" borderId="1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201" fontId="12" fillId="0" borderId="0" xfId="0" applyNumberFormat="1" applyFont="1" applyFill="1" applyBorder="1"/>
    <x:xf numFmtId="204" fontId="12" fillId="0" borderId="0" xfId="0" applyNumberFormat="1" applyFont="1" applyFill="1" applyBorder="1"/>
    <x:xf numFmtId="201" fontId="16" fillId="0" borderId="3" xfId="0" applyNumberFormat="1" applyFont="1" applyFill="1" applyBorder="1"/>
    <x:xf numFmtId="204" fontId="9" fillId="0" borderId="3" xfId="0" applyNumberFormat="1" applyFont="1" applyFill="1" applyBorder="1"/>
    <x:xf numFmtId="205" fontId="9" fillId="0" borderId="3" xfId="0" applyNumberFormat="1" applyFont="1" applyFill="1" applyBorder="1"/>
    <x:xf numFmtId="0" fontId="17" fillId="6" borderId="4" xfId="0" applyNumberFormat="1" applyFont="1" applyFill="1" applyBorder="1"/>
    <x:xf numFmtId="201" fontId="17" fillId="6" borderId="4" xfId="0" applyNumberFormat="1" applyFont="1" applyFill="1" applyBorder="1"/>
    <x:xf numFmtId="205" fontId="17" fillId="6" borderId="4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wrapText="1"/>
    </x:xf>
    <x:xf numFmtId="201" fontId="12" fillId="0" borderId="0" xfId="0" applyNumberFormat="1" applyFont="1" applyFill="1" applyBorder="1" applyAlignment="1">
      <x:alignment wrapText="1"/>
    </x:xf>
    <x:xf numFmtId="204" fontId="12" fillId="0" borderId="0" xfId="0" applyNumberFormat="1" applyFont="1" applyFill="1" applyBorder="1" applyAlignment="1">
      <x:alignment wrapText="1"/>
    </x:xf>
    <x:xf numFmtId="0" fontId="9" fillId="0" borderId="3" xfId="0" applyNumberFormat="1" applyFont="1" applyFill="1" applyBorder="1" applyAlignment="1">
      <x:alignment wrapText="1"/>
    </x:xf>
    <x:xf numFmtId="201" fontId="16" fillId="0" borderId="3" xfId="0" applyNumberFormat="1" applyFont="1" applyFill="1" applyBorder="1" applyAlignment="1">
      <x:alignment wrapText="1"/>
    </x:xf>
    <x:xf numFmtId="204" fontId="9" fillId="0" borderId="3" xfId="0" applyNumberFormat="1" applyFont="1" applyFill="1" applyBorder="1" applyAlignment="1">
      <x:alignment wrapText="1"/>
    </x:xf>
    <x:xf numFmtId="205" fontId="9" fillId="0" borderId="3" xfId="0" applyNumberFormat="1" applyFont="1" applyFill="1" applyBorder="1" applyAlignment="1">
      <x:alignment wrapText="1"/>
    </x:xf>
    <x:xf numFmtId="201" fontId="9" fillId="0" borderId="3" xfId="0" applyNumberFormat="1" applyFont="1" applyFill="1" applyBorder="1" applyAlignment="1">
      <x:alignment wrapText="1"/>
    </x:xf>
    <x:xf numFmtId="0" fontId="17" fillId="6" borderId="4" xfId="0" applyNumberFormat="1" applyFont="1" applyFill="1" applyBorder="1" applyAlignment="1">
      <x:alignment wrapText="1"/>
    </x:xf>
    <x:xf numFmtId="201" fontId="17" fillId="6" borderId="4" xfId="0" applyNumberFormat="1" applyFont="1" applyFill="1" applyBorder="1" applyAlignment="1">
      <x:alignment wrapText="1"/>
    </x:xf>
    <x:xf numFmtId="205" fontId="17" fillId="6" borderId="4" xfId="0" applyNumberFormat="1" applyFont="1" applyFill="1" applyBorder="1" applyAlignment="1">
      <x:alignment wrapText="1"/>
    </x:xf>
    <x:xf numFmtId="206" fontId="0" fillId="0" borderId="0" xfId="0" applyNumberFormat="1" applyFont="1" applyFill="1" applyBorder="1"/>
    <x:xf numFmtId="206" fontId="5" fillId="0" borderId="0" xfId="0" applyNumberFormat="1" applyFont="1" applyFill="1" applyBorder="1"/>
    <x:xf numFmtId="202" fontId="15" fillId="0" borderId="0" xfId="0" applyNumberFormat="1" applyFont="1" applyFill="1" applyBorder="1"/>
    <x:xf numFmtId="202" fontId="15" fillId="0" borderId="3" xfId="0" applyNumberFormat="1" applyFont="1" applyFill="1" applyBorder="1"/>
    <x:xf numFmtId="206" fontId="0" fillId="0" borderId="3" xfId="0" applyNumberFormat="1" applyFont="1" applyFill="1" applyBorder="1"/>
    <x:xf numFmtId="206" fontId="12" fillId="0" borderId="0" xfId="0" applyNumberFormat="1" applyFont="1" applyFill="1" applyBorder="1"/>
    <x:xf numFmtId="202" fontId="16" fillId="0" borderId="3" xfId="0" applyNumberFormat="1" applyFont="1" applyFill="1" applyBorder="1"/>
    <x:xf numFmtId="206" fontId="9" fillId="0" borderId="3" xfId="0" applyNumberFormat="1" applyFont="1" applyFill="1" applyBorder="1"/>
    <x:xf numFmtId="206" fontId="12" fillId="0" borderId="0" xfId="0" applyNumberFormat="1" applyFont="1" applyFill="1" applyBorder="1" applyAlignment="1">
      <x:alignment wrapText="1"/>
    </x:xf>
    <x:xf numFmtId="202" fontId="16" fillId="0" borderId="3" xfId="0" applyNumberFormat="1" applyFont="1" applyFill="1" applyBorder="1" applyAlignment="1">
      <x:alignment wrapText="1"/>
    </x:xf>
    <x:xf numFmtId="206" fontId="9" fillId="0" borderId="3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/>
    </x:xf>
    <x:xf numFmtId="0" fontId="18" fillId="3" borderId="0" xfId="0" applyNumberFormat="1" applyFont="1" applyFill="1" applyBorder="1"/>
    <x:xf numFmtId="0" fontId="18" fillId="3" borderId="6" xfId="0" applyNumberFormat="1" applyFont="1" applyFill="1" applyBorder="1"/>
    <x:xf numFmtId="205" fontId="18" fillId="3" borderId="6" xfId="0" applyNumberFormat="1" applyFont="1" applyFill="1" applyBorder="1"/>
    <x:xf numFmtId="205" fontId="18" fillId="3" borderId="6" xfId="0" applyNumberFormat="1" applyFont="1" applyFill="1" applyBorder="1" applyAlignment="1">
      <x:alignment horizontal="center"/>
    </x:xf>
    <x:xf numFmtId="205" fontId="18" fillId="3" borderId="6" xfId="0" applyNumberFormat="1" applyFont="1" applyFill="1" applyBorder="1" applyAlignment="1">
      <x:alignment horizontal="center" vertical="center"/>
    </x:xf>
    <x:xf numFmtId="0" fontId="19" fillId="3" borderId="0" xfId="0" applyNumberFormat="1" applyFont="1" applyFill="1" applyBorder="1"/>
    <x:xf numFmtId="0" fontId="19" fillId="3" borderId="6" xfId="0" applyNumberFormat="1" applyFont="1" applyFill="1" applyBorder="1"/>
    <x:xf numFmtId="205" fontId="19" fillId="3" borderId="6" xfId="0" applyNumberFormat="1" applyFont="1" applyFill="1" applyBorder="1"/>
    <x:xf numFmtId="205" fontId="19" fillId="3" borderId="6" xfId="0" applyNumberFormat="1" applyFont="1" applyFill="1" applyBorder="1" applyAlignment="1">
      <x:alignment horizontal="center"/>
    </x:xf>
    <x:xf numFmtId="205" fontId="19" fillId="3" borderId="6" xfId="0" applyNumberFormat="1" applyFont="1" applyFill="1" applyBorder="1" applyAlignment="1">
      <x:alignment horizontal="center" vertical="center"/>
    </x:xf>
    <x:xf numFmtId="0" fontId="4" fillId="5" borderId="0" xfId="0" applyNumberFormat="1" applyFont="1" applyFill="1" applyBorder="1" applyAlignment="1">
      <x:alignment wrapText="1"/>
    </x:xf>
    <x:xf numFmtId="0" fontId="20" fillId="0" borderId="0" xfId="0" applyNumberFormat="1" applyFont="1" applyFill="1" applyBorder="1"/>
    <x:xf numFmtId="207" fontId="20" fillId="0" borderId="0" xfId="0" applyNumberFormat="1" applyFont="1" applyFill="1" applyBorder="1"/>
    <x:xf numFmtId="203" fontId="20" fillId="0" borderId="0" xfId="0" applyNumberFormat="1" applyFont="1" applyFill="1" applyBorder="1"/>
    <x:xf numFmtId="200" fontId="0" fillId="3" borderId="0" xfId="0" applyNumberFormat="1" applyFont="1" applyFill="1" applyBorder="1"/>
    <x:xf numFmtId="0" fontId="21" fillId="3" borderId="0" xfId="0" applyNumberFormat="1" applyFont="1" applyFill="1" applyBorder="1"/>
    <x:xf numFmtId="200" fontId="21" fillId="3" borderId="0" xfId="0" applyNumberFormat="1" applyFont="1" applyFill="1" applyBorder="1"/>
    <x:xf numFmtId="0" fontId="21" fillId="3" borderId="0" xfId="0" applyNumberFormat="1" applyFont="1" applyFill="1" applyBorder="1" applyAlignment="1">
      <x:alignment wrapText="1"/>
    </x:xf>
    <x:xf numFmtId="200" fontId="21" fillId="3" borderId="0" xfId="0" applyNumberFormat="1" applyFont="1" applyFill="1" applyBorder="1" applyAlignment="1">
      <x:alignment wrapText="1"/>
    </x:xf>
    <x:xf numFmtId="205" fontId="15" fillId="0" borderId="0" xfId="0" applyNumberFormat="1" applyFont="1" applyFill="1" applyBorder="1"/>
    <x:xf numFmtId="205" fontId="15" fillId="0" borderId="3" xfId="0" applyNumberFormat="1" applyFont="1" applyFill="1" applyBorder="1"/>
    <x:xf numFmtId="205" fontId="15" fillId="0" borderId="4" xfId="0" applyNumberFormat="1" applyFont="1" applyFill="1" applyBorder="1"/>
    <x:xf numFmtId="0" fontId="0" fillId="7" borderId="0" xfId="0" applyNumberFormat="1" applyFont="1" applyFill="1" applyBorder="1"/>
    <x:xf numFmtId="0" fontId="22" fillId="7" borderId="0" xfId="0" applyNumberFormat="1" applyFont="1" applyFill="1" applyBorder="1"/>
    <x:xf numFmtId="0" fontId="22" fillId="7" borderId="7" xfId="0" applyNumberFormat="1" applyFont="1" applyFill="1" applyBorder="1"/>
    <x:xf numFmtId="0" fontId="22" fillId="7" borderId="8" xfId="0" applyNumberFormat="1" applyFont="1" applyFill="1" applyBorder="1"/>
    <x:xf numFmtId="0" fontId="22" fillId="7" borderId="9" xfId="0" applyNumberFormat="1" applyFont="1" applyFill="1" applyBorder="1"/>
    <x:xf numFmtId="0" fontId="22" fillId="7" borderId="10" xfId="0" applyNumberFormat="1" applyFont="1" applyFill="1" applyBorder="1"/>
    <x:xf numFmtId="0" fontId="22" fillId="7" borderId="11" xfId="0" applyNumberFormat="1" applyFont="1" applyFill="1" applyBorder="1"/>
    <x:xf numFmtId="0" fontId="22" fillId="7" borderId="12" xfId="0" applyNumberFormat="1" applyFont="1" applyFill="1" applyBorder="1"/>
    <x:xf numFmtId="0" fontId="22" fillId="7" borderId="13" xfId="0" applyNumberFormat="1" applyFont="1" applyFill="1" applyBorder="1"/>
    <x:xf numFmtId="0" fontId="22" fillId="7" borderId="14" xfId="0" applyNumberFormat="1" applyFont="1" applyFill="1" applyBorder="1"/>
    <x:xf numFmtId="0" fontId="22" fillId="7" borderId="7" xfId="0" applyNumberFormat="1" applyFont="1" applyFill="1" applyBorder="1" applyAlignment="1">
      <x:alignment wrapText="1"/>
    </x:xf>
    <x:xf numFmtId="0" fontId="22" fillId="7" borderId="8" xfId="0" applyNumberFormat="1" applyFont="1" applyFill="1" applyBorder="1" applyAlignment="1">
      <x:alignment wrapText="1"/>
    </x:xf>
    <x:xf numFmtId="0" fontId="22" fillId="7" borderId="9" xfId="0" applyNumberFormat="1" applyFont="1" applyFill="1" applyBorder="1" applyAlignment="1">
      <x:alignment wrapText="1"/>
    </x:xf>
    <x:xf numFmtId="0" fontId="22" fillId="7" borderId="10" xfId="0" applyNumberFormat="1" applyFont="1" applyFill="1" applyBorder="1" applyAlignment="1">
      <x:alignment wrapText="1"/>
    </x:xf>
    <x:xf numFmtId="0" fontId="22" fillId="7" borderId="0" xfId="0" applyNumberFormat="1" applyFont="1" applyFill="1" applyBorder="1" applyAlignment="1">
      <x:alignment wrapText="1"/>
    </x:xf>
    <x:xf numFmtId="0" fontId="22" fillId="7" borderId="11" xfId="0" applyNumberFormat="1" applyFont="1" applyFill="1" applyBorder="1" applyAlignment="1">
      <x:alignment wrapText="1"/>
    </x:xf>
    <x:xf numFmtId="0" fontId="22" fillId="7" borderId="12" xfId="0" applyNumberFormat="1" applyFont="1" applyFill="1" applyBorder="1" applyAlignment="1">
      <x:alignment wrapText="1"/>
    </x:xf>
    <x:xf numFmtId="0" fontId="22" fillId="7" borderId="13" xfId="0" applyNumberFormat="1" applyFont="1" applyFill="1" applyBorder="1" applyAlignment="1">
      <x:alignment wrapText="1"/>
    </x:xf>
    <x:xf numFmtId="0" fontId="22" fillId="7" borderId="14" xfId="0" applyNumberFormat="1" applyFont="1" applyFill="1" applyBorder="1" applyAlignment="1">
      <x:alignment wrapText="1"/>
    </x:xf>
    <x:xf numFmtId="0" fontId="22" fillId="7" borderId="7" xfId="0" applyNumberFormat="1" applyFont="1" applyFill="1" applyBorder="1" applyAlignment="1">
      <x:alignment vertical="top" wrapText="1"/>
    </x:xf>
    <x:xf numFmtId="0" fontId="22" fillId="7" borderId="8" xfId="0" applyNumberFormat="1" applyFont="1" applyFill="1" applyBorder="1" applyAlignment="1">
      <x:alignment vertical="top" wrapText="1"/>
    </x:xf>
    <x:xf numFmtId="0" fontId="22" fillId="7" borderId="9" xfId="0" applyNumberFormat="1" applyFont="1" applyFill="1" applyBorder="1" applyAlignment="1">
      <x:alignment vertical="top" wrapText="1"/>
    </x:xf>
    <x:xf numFmtId="0" fontId="22" fillId="7" borderId="10" xfId="0" applyNumberFormat="1" applyFont="1" applyFill="1" applyBorder="1" applyAlignment="1">
      <x:alignment vertical="top" wrapText="1"/>
    </x:xf>
    <x:xf numFmtId="0" fontId="22" fillId="7" borderId="0" xfId="0" applyNumberFormat="1" applyFont="1" applyFill="1" applyBorder="1" applyAlignment="1">
      <x:alignment vertical="top" wrapText="1"/>
    </x:xf>
    <x:xf numFmtId="0" fontId="22" fillId="7" borderId="11" xfId="0" applyNumberFormat="1" applyFont="1" applyFill="1" applyBorder="1" applyAlignment="1">
      <x:alignment vertical="top" wrapText="1"/>
    </x:xf>
    <x:xf numFmtId="0" fontId="22" fillId="7" borderId="12" xfId="0" applyNumberFormat="1" applyFont="1" applyFill="1" applyBorder="1" applyAlignment="1">
      <x:alignment vertical="top" wrapText="1"/>
    </x:xf>
    <x:xf numFmtId="0" fontId="22" fillId="7" borderId="13" xfId="0" applyNumberFormat="1" applyFont="1" applyFill="1" applyBorder="1" applyAlignment="1">
      <x:alignment vertical="top" wrapText="1"/>
    </x:xf>
    <x:xf numFmtId="0" fontId="22" fillId="7" borderId="14" xfId="0" applyNumberFormat="1" applyFont="1" applyFill="1" applyBorder="1" applyAlignment="1">
      <x:alignment vertical="top" wrapText="1"/>
    </x:xf>
    <x:xf numFmtId="0" fontId="11" fillId="5" borderId="0" xfId="0" applyNumberFormat="1" applyFont="1" applyFill="1" applyBorder="1" applyAlignment="1">
      <x:alignment horizontal="center"/>
    </x:xf>
    <x:xf numFmtId="205" fontId="23" fillId="3" borderId="6" xfId="0" applyNumberFormat="1" applyFont="1" applyFill="1" applyBorder="1" applyAlignment="1">
      <x:alignment horizontal="center" vertical="center"/>
    </x:xf>
    <x:xf numFmtId="205" fontId="24" fillId="3" borderId="6" xfId="0" applyNumberFormat="1" applyFont="1" applyFill="1" applyBorder="1" applyAlignment="1">
      <x:alignment horizontal="center" vertical="center"/>
    </x:xf>
    <x:xf numFmtId="0" fontId="11" fillId="5" borderId="0" xfId="0" applyNumberFormat="1" applyFont="1" applyFill="1" applyBorder="1" applyAlignment="1">
      <x:alignment wrapText="1"/>
    </x:xf>
    <x:xf numFmtId="207" fontId="25" fillId="0" borderId="0" xfId="0" applyNumberFormat="1" applyFont="1" applyFill="1" applyBorder="1"/>
    <x:xf numFmtId="0" fontId="25" fillId="0" borderId="0" xfId="0" applyNumberFormat="1" applyFont="1" applyFill="1" applyBorder="1"/>
    <x:xf numFmtId="203" fontId="25" fillId="0" borderId="0" xfId="0" applyNumberFormat="1" applyFont="1" applyFill="1" applyBorder="1"/>
    <x:xf numFmtId="0" fontId="26" fillId="3" borderId="0" xfId="0" applyNumberFormat="1" applyFont="1" applyFill="1" applyBorder="1" applyAlignment="1">
      <x:alignment wrapText="1"/>
    </x:xf>
    <x:xf numFmtId="200" fontId="26" fillId="3" borderId="0" xfId="0" applyNumberFormat="1" applyFont="1" applyFill="1" applyBorder="1" applyAlignment="1">
      <x:alignment wrapText="1"/>
    </x:xf>
    <x:xf numFmtId="205" fontId="16" fillId="0" borderId="3" xfId="0" applyNumberFormat="1" applyFont="1" applyFill="1" applyBorder="1"/>
    <x:xf numFmtId="205" fontId="16" fillId="0" borderId="4" xfId="0" applyNumberFormat="1" applyFont="1" applyFill="1" applyBorder="1"/>
    <x:xf numFmtId="0" fontId="27" fillId="7" borderId="7" xfId="0" applyNumberFormat="1" applyFont="1" applyFill="1" applyBorder="1" applyAlignment="1">
      <x:alignment vertical="top" wrapText="1"/>
    </x:xf>
    <x:xf numFmtId="0" fontId="27" fillId="7" borderId="8" xfId="0" applyNumberFormat="1" applyFont="1" applyFill="1" applyBorder="1" applyAlignment="1">
      <x:alignment vertical="top" wrapText="1"/>
    </x:xf>
    <x:xf numFmtId="0" fontId="27" fillId="7" borderId="9" xfId="0" applyNumberFormat="1" applyFont="1" applyFill="1" applyBorder="1" applyAlignment="1">
      <x:alignment vertical="top" wrapText="1"/>
    </x:xf>
    <x:xf numFmtId="0" fontId="27" fillId="7" borderId="10" xfId="0" applyNumberFormat="1" applyFont="1" applyFill="1" applyBorder="1" applyAlignment="1">
      <x:alignment vertical="top" wrapText="1"/>
    </x:xf>
    <x:xf numFmtId="0" fontId="27" fillId="7" borderId="0" xfId="0" applyNumberFormat="1" applyFont="1" applyFill="1" applyBorder="1" applyAlignment="1">
      <x:alignment vertical="top" wrapText="1"/>
    </x:xf>
    <x:xf numFmtId="0" fontId="27" fillId="7" borderId="11" xfId="0" applyNumberFormat="1" applyFont="1" applyFill="1" applyBorder="1" applyAlignment="1">
      <x:alignment vertical="top" wrapText="1"/>
    </x:xf>
    <x:xf numFmtId="0" fontId="27" fillId="7" borderId="12" xfId="0" applyNumberFormat="1" applyFont="1" applyFill="1" applyBorder="1" applyAlignment="1">
      <x:alignment vertical="top" wrapText="1"/>
    </x:xf>
    <x:xf numFmtId="0" fontId="27" fillId="7" borderId="13" xfId="0" applyNumberFormat="1" applyFont="1" applyFill="1" applyBorder="1" applyAlignment="1">
      <x:alignment vertical="top" wrapText="1"/>
    </x:xf>
    <x:xf numFmtId="0" fontId="27" fillId="7" borderId="14" xfId="0" applyNumberFormat="1" applyFont="1" applyFill="1" applyBorder="1" applyAlignment="1">
      <x:alignment vertical="top" wrapText="1"/>
    </x:xf>
    <x:xf numFmtId="0" fontId="11" fillId="5" borderId="0" xfId="0" applyNumberFormat="1" applyFont="1" applyFill="1" applyBorder="1" applyAlignment="1">
      <x:alignment horizontal="center" wrapText="1"/>
    </x:xf>
    <x:xf numFmtId="205" fontId="23" fillId="3" borderId="6" xfId="0" applyNumberFormat="1" applyFont="1" applyFill="1" applyBorder="1" applyAlignment="1">
      <x:alignment horizontal="center" vertical="center" wrapText="1"/>
    </x:xf>
    <x:xf numFmtId="205" fontId="24" fillId="3" borderId="6" xfId="0" applyNumberFormat="1" applyFont="1" applyFill="1" applyBorder="1" applyAlignment="1">
      <x:alignment horizontal="center" vertical="center" wrapText="1"/>
    </x:xf>
    <x:xf numFmtId="207" fontId="25" fillId="0" borderId="0" xfId="0" applyNumberFormat="1" applyFont="1" applyFill="1" applyBorder="1" applyAlignment="1">
      <x:alignment wrapText="1"/>
    </x:xf>
    <x:xf numFmtId="0" fontId="25" fillId="0" borderId="0" xfId="0" applyNumberFormat="1" applyFont="1" applyFill="1" applyBorder="1" applyAlignment="1">
      <x:alignment wrapText="1"/>
    </x:xf>
    <x:xf numFmtId="203" fontId="25" fillId="0" borderId="0" xfId="0" applyNumberFormat="1" applyFont="1" applyFill="1" applyBorder="1" applyAlignment="1">
      <x:alignment wrapText="1"/>
    </x:xf>
    <x:xf numFmtId="205" fontId="16" fillId="0" borderId="3" xfId="0" applyNumberFormat="1" applyFont="1" applyFill="1" applyBorder="1" applyAlignment="1">
      <x:alignment wrapText="1"/>
    </x:xf>
    <x:xf numFmtId="0" fontId="9" fillId="0" borderId="4" xfId="0" applyNumberFormat="1" applyFont="1" applyFill="1" applyBorder="1" applyAlignment="1">
      <x:alignment wrapText="1"/>
    </x:xf>
    <x:xf numFmtId="205" fontId="16" fillId="0" borderId="4" xfId="0" applyNumberFormat="1" applyFont="1" applyFill="1" applyBorder="1" applyAlignment="1">
      <x:alignment wrapText="1"/>
    </x:xf>
    <x:xf numFmtId="0" fontId="15" fillId="6" borderId="0" xfId="0" applyNumberFormat="1" applyFont="1" applyFill="1" applyBorder="1"/>
    <x:xf numFmtId="201" fontId="0" fillId="6" borderId="0" xfId="0" applyNumberFormat="1" applyFont="1" applyFill="1" applyBorder="1"/>
    <x:xf numFmtId="205" fontId="0" fillId="6" borderId="0" xfId="0" applyNumberFormat="1" applyFont="1" applyFill="1" applyBorder="1"/>
    <x:xf numFmtId="205" fontId="6" fillId="0" borderId="0" xfId="0" applyNumberFormat="1" applyFont="1" applyFill="1" applyBorder="1"/>
    <x:xf numFmtId="201" fontId="6" fillId="6" borderId="0" xfId="0" applyNumberFormat="1" applyFont="1" applyFill="1" applyBorder="1"/>
    <x:xf numFmtId="205" fontId="6" fillId="6" borderId="0" xfId="0" applyNumberFormat="1" applyFont="1" applyFill="1" applyBorder="1"/>
    <x:xf numFmtId="0" fontId="5" fillId="0" borderId="3" xfId="0" applyNumberFormat="1" applyFont="1" applyFill="1" applyBorder="1"/>
    <x:xf numFmtId="205" fontId="6" fillId="0" borderId="3" xfId="0" applyNumberFormat="1" applyFont="1" applyFill="1" applyBorder="1"/>
    <x:xf numFmtId="0" fontId="15" fillId="6" borderId="3" xfId="0" applyNumberFormat="1" applyFont="1" applyFill="1" applyBorder="1"/>
    <x:xf numFmtId="201" fontId="6" fillId="6" borderId="3" xfId="0" applyNumberFormat="1" applyFont="1" applyFill="1" applyBorder="1"/>
    <x:xf numFmtId="205" fontId="6" fillId="6" borderId="3" xfId="0" applyNumberFormat="1" applyFont="1" applyFill="1" applyBorder="1"/>
    <x:xf numFmtId="0" fontId="5" fillId="0" borderId="4" xfId="0" applyNumberFormat="1" applyFont="1" applyFill="1" applyBorder="1"/>
    <x:xf numFmtId="201" fontId="6" fillId="0" borderId="4" xfId="0" applyNumberFormat="1" applyFont="1" applyFill="1" applyBorder="1"/>
    <x:xf numFmtId="205" fontId="6" fillId="0" borderId="4" xfId="0" applyNumberFormat="1" applyFont="1" applyFill="1" applyBorder="1"/>
    <x:xf numFmtId="0" fontId="21" fillId="3" borderId="0" xfId="0" applyNumberFormat="1" applyFont="1" applyFill="1" applyBorder="1" applyAlignment="1">
      <x:alignment vertical="top" wrapText="1"/>
    </x:xf>
    <x:xf numFmtId="0" fontId="12" fillId="0" borderId="3" xfId="0" applyNumberFormat="1" applyFont="1" applyFill="1" applyBorder="1"/>
    <x:xf numFmtId="205" fontId="13" fillId="0" borderId="3" xfId="0" applyNumberFormat="1" applyFont="1" applyFill="1" applyBorder="1"/>
    <x:xf numFmtId="0" fontId="16" fillId="6" borderId="3" xfId="0" applyNumberFormat="1" applyFont="1" applyFill="1" applyBorder="1"/>
    <x:xf numFmtId="201" fontId="13" fillId="6" borderId="3" xfId="0" applyNumberFormat="1" applyFont="1" applyFill="1" applyBorder="1"/>
    <x:xf numFmtId="205" fontId="13" fillId="6" borderId="3" xfId="0" applyNumberFormat="1" applyFont="1" applyFill="1" applyBorder="1"/>
    <x:xf numFmtId="0" fontId="12" fillId="0" borderId="4" xfId="0" applyNumberFormat="1" applyFont="1" applyFill="1" applyBorder="1"/>
    <x:xf numFmtId="201" fontId="13" fillId="0" borderId="4" xfId="0" applyNumberFormat="1" applyFont="1" applyFill="1" applyBorder="1"/>
    <x:xf numFmtId="205" fontId="13" fillId="0" borderId="4" xfId="0" applyNumberFormat="1" applyFont="1" applyFill="1" applyBorder="1"/>
    <x:xf numFmtId="0" fontId="26" fillId="3" borderId="0" xfId="0" applyNumberFormat="1" applyFont="1" applyFill="1" applyBorder="1" applyAlignment="1">
      <x:alignment vertical="top" wrapText="1"/>
    </x:xf>
    <x:xf numFmtId="0" fontId="12" fillId="0" borderId="3" xfId="0" applyNumberFormat="1" applyFont="1" applyFill="1" applyBorder="1" applyAlignment="1">
      <x:alignment wrapText="1"/>
    </x:xf>
    <x:xf numFmtId="201" fontId="13" fillId="0" borderId="3" xfId="0" applyNumberFormat="1" applyFont="1" applyFill="1" applyBorder="1" applyAlignment="1">
      <x:alignment wrapText="1"/>
    </x:xf>
    <x:xf numFmtId="205" fontId="13" fillId="0" borderId="3" xfId="0" applyNumberFormat="1" applyFont="1" applyFill="1" applyBorder="1" applyAlignment="1">
      <x:alignment wrapText="1"/>
    </x:xf>
    <x:xf numFmtId="0" fontId="16" fillId="6" borderId="3" xfId="0" applyNumberFormat="1" applyFont="1" applyFill="1" applyBorder="1" applyAlignment="1">
      <x:alignment wrapText="1"/>
    </x:xf>
    <x:xf numFmtId="201" fontId="13" fillId="6" borderId="3" xfId="0" applyNumberFormat="1" applyFont="1" applyFill="1" applyBorder="1" applyAlignment="1">
      <x:alignment wrapText="1"/>
    </x:xf>
    <x:xf numFmtId="205" fontId="13" fillId="6" borderId="3" xfId="0" applyNumberFormat="1" applyFont="1" applyFill="1" applyBorder="1" applyAlignment="1">
      <x:alignment wrapText="1"/>
    </x:xf>
    <x:xf numFmtId="0" fontId="12" fillId="0" borderId="4" xfId="0" applyNumberFormat="1" applyFont="1" applyFill="1" applyBorder="1" applyAlignment="1">
      <x:alignment wrapText="1"/>
    </x:xf>
    <x:xf numFmtId="201" fontId="13" fillId="0" borderId="4" xfId="0" applyNumberFormat="1" applyFont="1" applyFill="1" applyBorder="1" applyAlignment="1">
      <x:alignment wrapText="1"/>
    </x:xf>
    <x:xf numFmtId="205" fontId="13" fillId="0" borderId="4" xfId="0" applyNumberFormat="1" applyFont="1" applyFill="1" applyBorder="1" applyAlignment="1">
      <x:alignment wrapText="1"/>
    </x:xf>
    <x:xf numFmtId="0" fontId="15" fillId="0" borderId="0" xfId="0" applyNumberFormat="1" applyFont="1" applyFill="1" applyBorder="1"/>
    <x:xf numFmtId="201" fontId="15" fillId="0" borderId="4" xfId="0" applyNumberFormat="1" applyFont="1" applyFill="1" applyBorder="1"/>
    <x:xf numFmtId="207" fontId="0" fillId="0" borderId="0" xfId="0" applyNumberFormat="1" applyFont="1" applyFill="1" applyBorder="1"/>
    <x:xf numFmtId="207" fontId="15" fillId="0" borderId="0" xfId="0" applyNumberFormat="1" applyFont="1" applyFill="1" applyBorder="1"/>
    <x:xf numFmtId="201" fontId="28" fillId="6" borderId="5" xfId="0" applyNumberFormat="1" applyFont="1" applyFill="1" applyBorder="1"/>
    <x:xf numFmtId="205" fontId="28" fillId="6" borderId="5" xfId="0" applyNumberFormat="1" applyFont="1" applyFill="1" applyBorder="1"/>
    <x:xf numFmtId="207" fontId="15" fillId="0" borderId="3" xfId="0" applyNumberFormat="1" applyFont="1" applyFill="1" applyBorder="1"/>
    <x:xf numFmtId="0" fontId="14" fillId="6" borderId="3" xfId="0" applyNumberFormat="1" applyFont="1" applyFill="1" applyBorder="1"/>
    <x:xf numFmtId="201" fontId="28" fillId="6" borderId="3" xfId="0" applyNumberFormat="1" applyFont="1" applyFill="1" applyBorder="1"/>
    <x:xf numFmtId="205" fontId="28" fillId="6" borderId="3" xfId="0" applyNumberFormat="1" applyFont="1" applyFill="1" applyBorder="1"/>
    <x:xf numFmtId="201" fontId="28" fillId="6" borderId="4" xfId="0" applyNumberFormat="1" applyFont="1" applyFill="1" applyBorder="1"/>
    <x:xf numFmtId="205" fontId="28" fillId="6" borderId="4" xfId="0" applyNumberFormat="1" applyFont="1" applyFill="1" applyBorder="1"/>
    <x:xf numFmtId="207" fontId="15" fillId="0" borderId="4" xfId="0" applyNumberFormat="1" applyFont="1" applyFill="1" applyBorder="1"/>
    <x:xf numFmtId="201" fontId="16" fillId="0" borderId="4" xfId="0" applyNumberFormat="1" applyFont="1" applyFill="1" applyBorder="1"/>
    <x:xf numFmtId="207" fontId="16" fillId="0" borderId="3" xfId="0" applyNumberFormat="1" applyFont="1" applyFill="1" applyBorder="1"/>
    <x:xf numFmtId="0" fontId="17" fillId="6" borderId="3" xfId="0" applyNumberFormat="1" applyFont="1" applyFill="1" applyBorder="1"/>
    <x:xf numFmtId="201" fontId="29" fillId="6" borderId="3" xfId="0" applyNumberFormat="1" applyFont="1" applyFill="1" applyBorder="1"/>
    <x:xf numFmtId="205" fontId="29" fillId="6" borderId="3" xfId="0" applyNumberFormat="1" applyFont="1" applyFill="1" applyBorder="1"/>
    <x:xf numFmtId="201" fontId="29" fillId="6" borderId="4" xfId="0" applyNumberFormat="1" applyFont="1" applyFill="1" applyBorder="1"/>
    <x:xf numFmtId="205" fontId="29" fillId="6" borderId="4" xfId="0" applyNumberFormat="1" applyFont="1" applyFill="1" applyBorder="1"/>
    <x:xf numFmtId="207" fontId="16" fillId="0" borderId="4" xfId="0" applyNumberFormat="1" applyFont="1" applyFill="1" applyBorder="1"/>
    <x:xf numFmtId="201" fontId="12" fillId="0" borderId="3" xfId="0" applyNumberFormat="1" applyFont="1" applyFill="1" applyBorder="1" applyAlignment="1">
      <x:alignment wrapText="1"/>
    </x:xf>
    <x:xf numFmtId="201" fontId="12" fillId="0" borderId="4" xfId="0" applyNumberFormat="1" applyFont="1" applyFill="1" applyBorder="1" applyAlignment="1">
      <x:alignment wrapText="1"/>
    </x:xf>
    <x:xf numFmtId="201" fontId="16" fillId="0" borderId="4" xfId="0" applyNumberFormat="1" applyFont="1" applyFill="1" applyBorder="1" applyAlignment="1">
      <x:alignment wrapText="1"/>
    </x:xf>
    <x:xf numFmtId="207" fontId="16" fillId="0" borderId="3" xfId="0" applyNumberFormat="1" applyFont="1" applyFill="1" applyBorder="1" applyAlignment="1">
      <x:alignment wrapText="1"/>
    </x:xf>
    <x:xf numFmtId="0" fontId="17" fillId="6" borderId="3" xfId="0" applyNumberFormat="1" applyFont="1" applyFill="1" applyBorder="1" applyAlignment="1">
      <x:alignment wrapText="1"/>
    </x:xf>
    <x:xf numFmtId="201" fontId="29" fillId="6" borderId="3" xfId="0" applyNumberFormat="1" applyFont="1" applyFill="1" applyBorder="1" applyAlignment="1">
      <x:alignment wrapText="1"/>
    </x:xf>
    <x:xf numFmtId="205" fontId="29" fillId="6" borderId="3" xfId="0" applyNumberFormat="1" applyFont="1" applyFill="1" applyBorder="1" applyAlignment="1">
      <x:alignment wrapText="1"/>
    </x:xf>
    <x:xf numFmtId="201" fontId="29" fillId="6" borderId="4" xfId="0" applyNumberFormat="1" applyFont="1" applyFill="1" applyBorder="1" applyAlignment="1">
      <x:alignment wrapText="1"/>
    </x:xf>
    <x:xf numFmtId="205" fontId="29" fillId="6" borderId="4" xfId="0" applyNumberFormat="1" applyFont="1" applyFill="1" applyBorder="1" applyAlignment="1">
      <x:alignment wrapText="1"/>
    </x:xf>
    <x:xf numFmtId="207" fontId="16" fillId="0" borderId="4" xfId="0" applyNumberFormat="1" applyFont="1" applyFill="1" applyBorder="1" applyAlignment="1">
      <x:alignment wrapText="1"/>
    </x:xf>
    <x:xf numFmtId="0" fontId="30" fillId="2" borderId="0" xfId="0" applyNumberFormat="1" applyFont="1" applyFill="1" applyBorder="1"/>
    <x:xf numFmtId="0" fontId="31" fillId="3" borderId="0" xfId="0" applyNumberFormat="1" applyFont="1" applyFill="1" applyBorder="1"/>
    <x:xf numFmtId="0" fontId="31" fillId="3" borderId="0" xfId="0" applyNumberFormat="1" applyFont="1" applyFill="1" applyBorder="1" applyAlignment="1">
      <x:alignment wrapText="1"/>
    </x:xf>
    <x:xf numFmtId="202" fontId="0" fillId="0" borderId="3" xfId="0" applyNumberFormat="1" applyFont="1" applyFill="1" applyBorder="1"/>
    <x:xf numFmtId="202" fontId="15" fillId="0" borderId="4" xfId="0" applyNumberFormat="1" applyFont="1" applyFill="1" applyBorder="1"/>
    <x:xf numFmtId="202" fontId="0" fillId="0" borderId="4" xfId="0" applyNumberFormat="1" applyFont="1" applyFill="1" applyBorder="1"/>
    <x:xf numFmtId="0" fontId="32" fillId="2" borderId="0" xfId="0" applyNumberFormat="1" applyFont="1" applyFill="1" applyBorder="1"/>
    <x:xf numFmtId="0" fontId="33" fillId="3" borderId="0" xfId="0" applyNumberFormat="1" applyFont="1" applyFill="1" applyBorder="1" applyAlignment="1">
      <x:alignment wrapText="1"/>
    </x:xf>
    <x:xf numFmtId="202" fontId="9" fillId="0" borderId="3" xfId="0" applyNumberFormat="1" applyFont="1" applyFill="1" applyBorder="1"/>
    <x:xf numFmtId="202" fontId="16" fillId="0" borderId="4" xfId="0" applyNumberFormat="1" applyFont="1" applyFill="1" applyBorder="1"/>
    <x:xf numFmtId="202" fontId="9" fillId="0" borderId="4" xfId="0" applyNumberFormat="1" applyFont="1" applyFill="1" applyBorder="1"/>
    <x:xf numFmtId="0" fontId="32" fillId="2" borderId="0" xfId="0" applyNumberFormat="1" applyFont="1" applyFill="1" applyBorder="1" applyAlignment="1">
      <x:alignment wrapText="1"/>
    </x:xf>
    <x:xf numFmtId="202" fontId="9" fillId="0" borderId="3" xfId="0" applyNumberFormat="1" applyFont="1" applyFill="1" applyBorder="1" applyAlignment="1">
      <x:alignment wrapText="1"/>
    </x:xf>
    <x:xf numFmtId="202" fontId="16" fillId="0" borderId="4" xfId="0" applyNumberFormat="1" applyFont="1" applyFill="1" applyBorder="1" applyAlignment="1">
      <x:alignment wrapText="1"/>
    </x:xf>
    <x:xf numFmtId="202" fontId="9" fillId="0" borderId="4" xfId="0" applyNumberFormat="1" applyFont="1" applyFill="1" applyBorder="1" applyAlignment="1">
      <x:alignment wrapText="1"/>
    </x:xf>
    <x:xf numFmtId="200" fontId="0" fillId="0" borderId="3" xfId="0" applyNumberFormat="1" applyFont="1" applyFill="1" applyBorder="1"/>
    <x:xf numFmtId="200" fontId="0" fillId="0" borderId="4" xfId="0" applyNumberFormat="1" applyFont="1" applyFill="1" applyBorder="1"/>
    <x:xf numFmtId="200" fontId="9" fillId="0" borderId="3" xfId="0" applyNumberFormat="1" applyFont="1" applyFill="1" applyBorder="1"/>
    <x:xf numFmtId="200" fontId="9" fillId="0" borderId="4" xfId="0" applyNumberFormat="1" applyFont="1" applyFill="1" applyBorder="1"/>
    <x:xf numFmtId="200" fontId="9" fillId="0" borderId="3" xfId="0" applyNumberFormat="1" applyFont="1" applyFill="1" applyBorder="1" applyAlignment="1">
      <x:alignment wrapText="1"/>
    </x:xf>
    <x:xf numFmtId="200" fontId="9" fillId="0" borderId="4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horizontal="center" vertical="center" wrapText="1"/>
    </x:xf>
    <x:xf numFmtId="0" fontId="11" fillId="5" borderId="0" xfId="0" applyNumberFormat="1" applyFont="1" applyFill="1" applyBorder="1" applyAlignment="1">
      <x:alignment vertical="center" wrapText="1"/>
    </x:xf>
    <x:xf numFmtId="207" fontId="25" fillId="0" borderId="0" xfId="0" applyNumberFormat="1" applyFont="1" applyFill="1" applyBorder="1" applyAlignment="1">
      <x:alignment vertical="center" wrapText="1"/>
    </x:xf>
    <x:xf numFmtId="0" fontId="25" fillId="0" borderId="0" xfId="0" applyNumberFormat="1" applyFont="1" applyFill="1" applyBorder="1" applyAlignment="1">
      <x:alignment vertical="center" wrapText="1"/>
    </x:xf>
    <x:xf numFmtId="203" fontId="25" fillId="0" borderId="0" xfId="0" applyNumberFormat="1" applyFont="1" applyFill="1" applyBorder="1" applyAlignment="1">
      <x:alignment vertical="center" wrapText="1"/>
    </x:xf>
    <x:xf numFmtId="0" fontId="26" fillId="3" borderId="0" xfId="0" applyNumberFormat="1" applyFont="1" applyFill="1" applyBorder="1" applyAlignment="1">
      <x:alignment vertical="center" wrapText="1"/>
    </x:xf>
    <x:xf numFmtId="200" fontId="26" fillId="3" borderId="0" xfId="0" applyNumberFormat="1" applyFont="1" applyFill="1" applyBorder="1" applyAlignment="1">
      <x:alignment vertical="center" wrapText="1"/>
    </x:xf>
    <x:xf numFmtId="205" fontId="16" fillId="0" borderId="3" xfId="0" applyNumberFormat="1" applyFont="1" applyFill="1" applyBorder="1" applyAlignment="1">
      <x:alignment vertical="center" wrapText="1"/>
    </x:xf>
    <x:xf numFmtId="205" fontId="16" fillId="0" borderId="4" xfId="0" applyNumberFormat="1" applyFont="1" applyFill="1" applyBorder="1" applyAlignment="1">
      <x:alignment vertical="center" wrapText="1"/>
    </x:xf>
    <x:xf numFmtId="0" fontId="27" fillId="7" borderId="7" xfId="0" applyNumberFormat="1" applyFont="1" applyFill="1" applyBorder="1" applyAlignment="1">
      <x:alignment vertical="center" wrapText="1"/>
    </x:xf>
    <x:xf numFmtId="0" fontId="27" fillId="7" borderId="8" xfId="0" applyNumberFormat="1" applyFont="1" applyFill="1" applyBorder="1" applyAlignment="1">
      <x:alignment vertical="center" wrapText="1"/>
    </x:xf>
    <x:xf numFmtId="0" fontId="27" fillId="7" borderId="9" xfId="0" applyNumberFormat="1" applyFont="1" applyFill="1" applyBorder="1" applyAlignment="1">
      <x:alignment vertical="center" wrapText="1"/>
    </x:xf>
    <x:xf numFmtId="0" fontId="27" fillId="7" borderId="10" xfId="0" applyNumberFormat="1" applyFont="1" applyFill="1" applyBorder="1" applyAlignment="1">
      <x:alignment vertical="center" wrapText="1"/>
    </x:xf>
    <x:xf numFmtId="0" fontId="27" fillId="7" borderId="0" xfId="0" applyNumberFormat="1" applyFont="1" applyFill="1" applyBorder="1" applyAlignment="1">
      <x:alignment vertical="center" wrapText="1"/>
    </x:xf>
    <x:xf numFmtId="0" fontId="27" fillId="7" borderId="11" xfId="0" applyNumberFormat="1" applyFont="1" applyFill="1" applyBorder="1" applyAlignment="1">
      <x:alignment vertical="center" wrapText="1"/>
    </x:xf>
    <x:xf numFmtId="0" fontId="27" fillId="7" borderId="12" xfId="0" applyNumberFormat="1" applyFont="1" applyFill="1" applyBorder="1" applyAlignment="1">
      <x:alignment vertical="center" wrapText="1"/>
    </x:xf>
    <x:xf numFmtId="0" fontId="27" fillId="7" borderId="13" xfId="0" applyNumberFormat="1" applyFont="1" applyFill="1" applyBorder="1" applyAlignment="1">
      <x:alignment vertical="center" wrapText="1"/>
    </x:xf>
    <x:xf numFmtId="0" fontId="27" fillId="7" borderId="14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vertical="center" wrapText="1"/>
    </x:xf>
    <x:xf numFmtId="201" fontId="12" fillId="0" borderId="0" xfId="0" applyNumberFormat="1" applyFont="1" applyFill="1" applyBorder="1" applyAlignment="1">
      <x:alignment vertical="center" wrapText="1"/>
    </x:xf>
    <x:xf numFmtId="204" fontId="12" fillId="0" borderId="0" xfId="0" applyNumberFormat="1" applyFont="1" applyFill="1" applyBorder="1" applyAlignment="1">
      <x:alignment vertical="center" wrapText="1"/>
    </x:xf>
    <x:xf numFmtId="201" fontId="16" fillId="0" borderId="3" xfId="0" applyNumberFormat="1" applyFont="1" applyFill="1" applyBorder="1" applyAlignment="1">
      <x:alignment vertical="center" wrapText="1"/>
    </x:xf>
    <x:xf numFmtId="204" fontId="9" fillId="0" borderId="3" xfId="0" applyNumberFormat="1" applyFont="1" applyFill="1" applyBorder="1" applyAlignment="1">
      <x:alignment vertical="center" wrapText="1"/>
    </x:xf>
    <x:xf numFmtId="205" fontId="9" fillId="0" borderId="3" xfId="0" applyNumberFormat="1" applyFont="1" applyFill="1" applyBorder="1" applyAlignment="1">
      <x:alignment vertical="center" wrapText="1"/>
    </x:xf>
    <x:xf numFmtId="0" fontId="17" fillId="6" borderId="4" xfId="0" applyNumberFormat="1" applyFont="1" applyFill="1" applyBorder="1" applyAlignment="1">
      <x:alignment vertical="center" wrapText="1"/>
    </x:xf>
    <x:xf numFmtId="201" fontId="17" fillId="6" borderId="4" xfId="0" applyNumberFormat="1" applyFont="1" applyFill="1" applyBorder="1" applyAlignment="1">
      <x:alignment vertical="center" wrapText="1"/>
    </x:xf>
    <x:xf numFmtId="205" fontId="17" fillId="6" borderId="4" xfId="0" applyNumberFormat="1" applyFont="1" applyFill="1" applyBorder="1" applyAlignment="1">
      <x:alignment vertical="center" wrapText="1"/>
    </x:xf>
    <x:xf numFmtId="206" fontId="12" fillId="0" borderId="0" xfId="0" applyNumberFormat="1" applyFont="1" applyFill="1" applyBorder="1" applyAlignment="1">
      <x:alignment vertical="center" wrapText="1"/>
    </x:xf>
    <x:xf numFmtId="202" fontId="16" fillId="0" borderId="3" xfId="0" applyNumberFormat="1" applyFont="1" applyFill="1" applyBorder="1" applyAlignment="1">
      <x:alignment vertical="center" wrapText="1"/>
    </x:xf>
    <x:xf numFmtId="206" fontId="9" fillId="0" borderId="3" xfId="0" applyNumberFormat="1" applyFont="1" applyFill="1" applyBorder="1" applyAlignment="1">
      <x:alignment vertical="center" wrapText="1"/>
    </x:xf>
    <x:xf numFmtId="0" fontId="12" fillId="0" borderId="3" xfId="0" applyNumberFormat="1" applyFont="1" applyFill="1" applyBorder="1" applyAlignment="1">
      <x:alignment vertical="center" wrapText="1"/>
    </x:xf>
    <x:xf numFmtId="205" fontId="13" fillId="0" borderId="3" xfId="0" applyNumberFormat="1" applyFont="1" applyFill="1" applyBorder="1" applyAlignment="1">
      <x:alignment vertical="center" wrapText="1"/>
    </x:xf>
    <x:xf numFmtId="0" fontId="16" fillId="6" borderId="3" xfId="0" applyNumberFormat="1" applyFont="1" applyFill="1" applyBorder="1" applyAlignment="1">
      <x:alignment vertical="center" wrapText="1"/>
    </x:xf>
    <x:xf numFmtId="201" fontId="13" fillId="6" borderId="3" xfId="0" applyNumberFormat="1" applyFont="1" applyFill="1" applyBorder="1" applyAlignment="1">
      <x:alignment vertical="center" wrapText="1"/>
    </x:xf>
    <x:xf numFmtId="205" fontId="13" fillId="6" borderId="3" xfId="0" applyNumberFormat="1" applyFont="1" applyFill="1" applyBorder="1" applyAlignment="1">
      <x:alignment vertical="center" wrapText="1"/>
    </x:xf>
    <x:xf numFmtId="0" fontId="12" fillId="0" borderId="4" xfId="0" applyNumberFormat="1" applyFont="1" applyFill="1" applyBorder="1" applyAlignment="1">
      <x:alignment vertical="center" wrapText="1"/>
    </x:xf>
    <x:xf numFmtId="201" fontId="13" fillId="0" borderId="4" xfId="0" applyNumberFormat="1" applyFont="1" applyFill="1" applyBorder="1" applyAlignment="1">
      <x:alignment vertical="center" wrapText="1"/>
    </x:xf>
    <x:xf numFmtId="205" fontId="13" fillId="0" borderId="4" xfId="0" applyNumberFormat="1" applyFont="1" applyFill="1" applyBorder="1" applyAlignment="1">
      <x:alignment vertical="center" wrapText="1"/>
    </x:xf>
    <x:xf numFmtId="201" fontId="16" fillId="0" borderId="4" xfId="0" applyNumberFormat="1" applyFont="1" applyFill="1" applyBorder="1" applyAlignment="1">
      <x:alignment vertical="center" wrapText="1"/>
    </x:xf>
    <x:xf numFmtId="207" fontId="16" fillId="0" borderId="3" xfId="0" applyNumberFormat="1" applyFont="1" applyFill="1" applyBorder="1" applyAlignment="1">
      <x:alignment vertical="center" wrapText="1"/>
    </x:xf>
    <x:xf numFmtId="0" fontId="17" fillId="6" borderId="3" xfId="0" applyNumberFormat="1" applyFont="1" applyFill="1" applyBorder="1" applyAlignment="1">
      <x:alignment vertical="center" wrapText="1"/>
    </x:xf>
    <x:xf numFmtId="201" fontId="29" fillId="6" borderId="3" xfId="0" applyNumberFormat="1" applyFont="1" applyFill="1" applyBorder="1" applyAlignment="1">
      <x:alignment vertical="center" wrapText="1"/>
    </x:xf>
    <x:xf numFmtId="205" fontId="29" fillId="6" borderId="3" xfId="0" applyNumberFormat="1" applyFont="1" applyFill="1" applyBorder="1" applyAlignment="1">
      <x:alignment vertical="center" wrapText="1"/>
    </x:xf>
    <x:xf numFmtId="201" fontId="29" fillId="6" borderId="4" xfId="0" applyNumberFormat="1" applyFont="1" applyFill="1" applyBorder="1" applyAlignment="1">
      <x:alignment vertical="center" wrapText="1"/>
    </x:xf>
    <x:xf numFmtId="205" fontId="29" fillId="6" borderId="4" xfId="0" applyNumberFormat="1" applyFont="1" applyFill="1" applyBorder="1" applyAlignment="1">
      <x:alignment vertical="center" wrapText="1"/>
    </x:xf>
    <x:xf numFmtId="207" fontId="16" fillId="0" borderId="4" xfId="0" applyNumberFormat="1" applyFont="1" applyFill="1" applyBorder="1" applyAlignment="1">
      <x:alignment vertical="center" wrapText="1"/>
    </x:xf>
    <x:xf numFmtId="0" fontId="32" fillId="2" borderId="0" xfId="0" applyNumberFormat="1" applyFont="1" applyFill="1" applyBorder="1" applyAlignment="1">
      <x:alignment vertical="center" wrapText="1"/>
    </x:xf>
    <x:xf numFmtId="0" fontId="33" fillId="3" borderId="0" xfId="0" applyNumberFormat="1" applyFont="1" applyFill="1" applyBorder="1" applyAlignment="1">
      <x:alignment vertical="center" wrapText="1"/>
    </x:xf>
    <x:xf numFmtId="202" fontId="9" fillId="0" borderId="3" xfId="0" applyNumberFormat="1" applyFont="1" applyFill="1" applyBorder="1" applyAlignment="1">
      <x:alignment vertical="center" wrapText="1"/>
    </x:xf>
    <x:xf numFmtId="202" fontId="16" fillId="0" borderId="4" xfId="0" applyNumberFormat="1" applyFont="1" applyFill="1" applyBorder="1" applyAlignment="1">
      <x:alignment vertical="center" wrapText="1"/>
    </x:xf>
    <x:xf numFmtId="202" fontId="9" fillId="0" borderId="4" xfId="0" applyNumberFormat="1" applyFont="1" applyFill="1" applyBorder="1" applyAlignment="1">
      <x:alignment vertical="center" wrapText="1"/>
    </x:xf>
    <x:xf numFmtId="200" fontId="9" fillId="0" borderId="3" xfId="0" applyNumberFormat="1" applyFont="1" applyFill="1" applyBorder="1" applyAlignment="1">
      <x:alignment vertical="center" wrapText="1"/>
    </x:xf>
    <x:xf numFmtId="200" fontId="9" fillId="0" borderId="4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5"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b/>
        <x:color rgb="FF9C0006"/>
      </x:font>
      <x:fill>
        <x:patternFill patternType="solid">
          <x:bgColor rgb="FFFFC7CE"/>
        </x:patternFill>
      </x:fill>
    </x:dxf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b/>
        <x:color rgb="FF9C0006"/>
      </x:font>
      <x:fill>
        <x:patternFill patternType="solid">
          <x:b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068379eae2144ac" /><Relationship Type="http://schemas.openxmlformats.org/officeDocument/2006/relationships/theme" Target="/xl/theme/theme1.xml" Id="Rdc544e676d0d4edb" /><Relationship Type="http://schemas.openxmlformats.org/officeDocument/2006/relationships/sharedStrings" Target="/xl/sharedStrings.xml" Id="Red72f1eb76cd44d2" /><Relationship Type="http://schemas.openxmlformats.org/officeDocument/2006/relationships/worksheet" Target="/xl/worksheets/sheet1.xml" Id="R5c10eec0d26147e3" /><Relationship Type="http://schemas.openxmlformats.org/officeDocument/2006/relationships/worksheet" Target="/xl/worksheets/sheet2.xml" Id="R83ca84b9ea394a78" /><Relationship Type="http://schemas.openxmlformats.org/officeDocument/2006/relationships/worksheet" Target="/xl/worksheets/sheet3.xml" Id="Rb660a483c9c14f99" /><Relationship Type="http://schemas.openxmlformats.org/officeDocument/2006/relationships/worksheet" Target="/xl/worksheets/sheet4.xml" Id="Rdc3549657f09415b" /><Relationship Type="http://schemas.openxmlformats.org/officeDocument/2006/relationships/worksheet" Target="/xl/worksheets/sheet5.xml" Id="R36762f52cd3240ec" /><Relationship Type="http://schemas.openxmlformats.org/officeDocument/2006/relationships/worksheet" Target="/xl/worksheets/sheet6.xml" Id="R679f6febcec44c21" /><Relationship Type="http://schemas.openxmlformats.org/officeDocument/2006/relationships/worksheet" Target="/xl/worksheets/sheet7.xml" Id="Rcb20e0a3dfad4877" /><Relationship Type="http://schemas.openxmlformats.org/officeDocument/2006/relationships/worksheet" Target="/xl/worksheets/sheet8.xml" Id="R34a1191cd5b24a63" /><Relationship Type="http://schemas.microsoft.com/office/2017/10/relationships/person" Target="/xl/persons/person.xml" Id="Rcfc69b5ce12e4af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d780ed8936448c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Monthly Cost by Agent (USD): Model vs Infrastructure</a:t>
            </a:r>
          </a:p>
        </c:rich>
      </c:tx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Model — current</c:v>
          </c:tx>
          <c:cat>
            <c:strRef>
              <c:f>'Summary'!$A$15:$A$18</c:f>
              <c:strCache>
                <c:ptCount val="0"/>
              </c:strCache>
            </c:strRef>
          </c:cat>
          <c:val>
            <c:numRef>
              <c:f>'Summary'!$B$15:$B$18</c:f>
              <c:numCache>
                <c:formatCode>$#,##0.00;[Red]($#,##0.00);-</c:formatCode>
                <c:ptCount val="0"/>
              </c:numCache>
            </c:numRef>
          </c:val>
        </c:ser>
        <c:ser>
          <c:idx val="1"/>
          <c:order val="1"/>
          <c:tx>
            <c:v>Infrastructure</c:v>
          </c:tx>
          <c:cat>
            <c:strRef>
              <c:f>'Summary'!$A$15:$A$18</c:f>
              <c:strCache>
                <c:ptCount val="0"/>
              </c:strCache>
            </c:strRef>
          </c:cat>
          <c:val>
            <c:numRef>
              <c:f>'Summary'!$C$15:$C$18</c:f>
              <c:numCache>
                <c:formatCode>$#,##0.00;[Red]($#,##0.00);-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12</xdr:row>
      <xdr:rowOff>0</xdr:rowOff>
    </xdr:from>
    <xdr:to>
      <xdr:col>16</xdr:col>
      <xdr:colOff>0</xdr:colOff>
      <xdr:row>28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d780ed8936448c0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Abhay" id="{2D8B10E0-4AEE-44FC-B5E4-2566EC4912C2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8" dT="2026-07-27T21:39:43.612" personId="{2D8B10E0-4AEE-44FC-B5E4-2566EC4912C2}" id="{D6DA0F63-E440-FC44-6694-F18E59CD216A}">
    <xltc:text>Assumption: 20 companies/month for the average case. Replace with actual monthly cohort volume.</xltc:text>
  </xltc:threadedComment>
  <xltc:threadedComment ref="B9" dT="2026-07-27T21:39:43.615" personId="{2D8B10E0-4AEE-44FC-B5E4-2566EC4912C2}" id="{D8D44390-1647-DCB2-F529-95068F448F15}">
    <xltc:text>Assumption: 12 reports/company. The download and PageIndex agents both scale with this driver.</xltc:text>
  </xltc:threadedComment>
  <xltc:threadedComment ref="B11" dT="2026-07-27T21:39:43.615" personId="{2D8B10E0-4AEE-44FC-B5E4-2566EC4912C2}" id="{B1144FCD-652E-9A8E-A82D-DE464054EA92}">
    <xltc:text>Assumption: 50 questionnaire questions/company. The answering agent processes one ReAct loop per question block.</xltc:text>
  </xltc:threadedComment>
  <xltc:threadedComment ref="G28" dT="2026-07-27T21:39:43.615" personId="{2D8B10E0-4AEE-44FC-B5E4-2566EC4912C2}" id="{A934057D-0C3E-85EF-04FF-9C5C2D7FD43F}">
    <xltc:text>Estimate: PageIndex fixed 25K input tokens plus 900 input tokens/page. The PageIndex library is absent locally, so replace with Bedrock usage telemetry after a representative run.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B6" dT="2026-07-27T21:39:43.615" personId="{2D8B10E0-4AEE-44FC-B5E4-2566EC4912C2}" id="{F3508F0F-0441-25E7-E347-12766E130E8E}">
    <xltc:text>Source: https://aws.amazon.com/bedrock/pricing/ | Claude Sonnet 5 launch pricing through 2026-08-31.</xltc:text>
  </xltc:threadedComment>
  <xltc:threadedComment ref="C8" dT="2026-07-27T21:39:43.615" personId="{2D8B10E0-4AEE-44FC-B5E4-2566EC4912C2}" id="{6BAB9807-54F7-1ED3-CFB5-DD0CB800C699}">
    <xltc:text>Source: https://cloud.google.com/vertex-ai/generative-ai/pricing | Uses thinking-output price because code does not set thinkingBudget=0.</xltc:text>
  </xltc:threadedComment>
</xltc:ThreadedComments>
</file>

<file path=xl/threadedcomments/threadedcomment3.xml><?xml version="1.0" encoding="utf-8"?>
<xltc:ThreadedComments xmlns:xltc="http://schemas.microsoft.com/office/spreadsheetml/2018/threadedcomments">
  <xltc:threadedComment ref="B6" dT="2026-07-27T21:39:43.615" personId="{2D8B10E0-4AEE-44FC-B5E4-2566EC4912C2}" id="{E13CF248-792A-E18B-0A28-12B53A6DBCF9}">
    <xltc:text>Source: https://aws.amazon.com/bedrock/agentcore/pricing/</xltc:text>
  </xltc:threadedComment>
  <xltc:threadedComment ref="B10" dT="2026-07-27T21:39:43.615" personId="{2D8B10E0-4AEE-44FC-B5E4-2566EC4912C2}" id="{6E1687E1-CB93-963D-A612-902903537250}">
    <xltc:text>Source: https://aws.amazon.com/lambda/pricing/ | ARM first-tier duration rate.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3b36aeb6c174c9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b22a9a47822a48cf" /><Relationship Type="http://schemas.openxmlformats.org/officeDocument/2006/relationships/vmlDrawing" Target="/xl/drawings/vmldrawing.vml" Id="R1948b893d5b240a1" /><Relationship Type="http://schemas.microsoft.com/office/2017/10/relationships/threadedComment" Target="/xl/threadedcomments/threadedcomment.xml" Id="Rd506b25c7b51429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2.xml" Id="R0b2c5091cf9d4ea9" /><Relationship Type="http://schemas.openxmlformats.org/officeDocument/2006/relationships/vmlDrawing" Target="/xl/drawings/vmldrawing2.vml" Id="R81963205cba54314" /><Relationship Type="http://schemas.microsoft.com/office/2017/10/relationships/threadedComment" Target="/xl/threadedcomments/threadedcomment2.xml" Id="Rb8b67b426168499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comments" Target="/xl/comments3.xml" Id="R9650b886eafb42c3" /><Relationship Type="http://schemas.openxmlformats.org/officeDocument/2006/relationships/vmlDrawing" Target="/xl/drawings/vmldrawing3.vml" Id="R82e7f00b25944344" /><Relationship Type="http://schemas.microsoft.com/office/2017/10/relationships/threadedComment" Target="/xl/threadedcomments/threadedcomment3.xml" Id="Rdc4c651e592448b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20" hidden="0" customWidth="1"/>
    <x:col min="4" max="4" width="18" hidden="0" customWidth="1"/>
    <x:col min="5" max="5" width="20" hidden="0" customWidth="1"/>
    <x:col min="6" max="6" width="20" hidden="0" customWidth="1"/>
    <x:col min="7" max="7" width="20" hidden="0" customWidth="1"/>
    <x:col min="8" max="8" width="18" hidden="0" customWidth="1"/>
    <x:col min="9" max="9" width="18" hidden="0" customWidth="1"/>
  </x:cols>
  <x:sheetData>
    <x:row r="1" ht="34" customHeight="1">
      <x:c r="A1" s="70" t="str">
        <x:v>Three-Agent Monthly Cost Analysis</x:v>
      </x:c>
      <x:c r="B1" s="70" t="str">
        <x:v>Three-Agent Monthly Cost Analysis</x:v>
      </x:c>
      <x:c r="C1" s="70" t="str">
        <x:v>Three-Agent Monthly Cost Analysis</x:v>
      </x:c>
      <x:c r="D1" s="70" t="str">
        <x:v>Three-Agent Monthly Cost Analysis</x:v>
      </x:c>
      <x:c r="E1" s="70" t="str">
        <x:v>Three-Agent Monthly Cost Analysis</x:v>
      </x:c>
      <x:c r="F1" s="70" t="str">
        <x:v>Three-Agent Monthly Cost Analysis</x:v>
      </x:c>
      <x:c r="G1" s="70" t="str">
        <x:v>Three-Agent Monthly Cost Analysis</x:v>
      </x:c>
      <x:c r="H1" s="70" t="str">
        <x:v>Three-Agent Monthly Cost Analysis</x:v>
      </x:c>
      <x:c r="I1" s="70" t="str">
        <x:v>Three-Agent Monthly Cost Analysis</x:v>
      </x:c>
    </x:row>
    <x:row r="2" ht="30" customHeight="1">
      <x:c r="A2" s="41" t="str">
        <x:v>Average case based on the inspected download, PageIndex, and answering agent code. Model/API costs and infrastructure are deliberately separated.</x:v>
      </x:c>
      <x:c r="B2" s="41" t="str">
        <x:v>Average case based on the inspected download, PageIndex, and answering agent code. Model/API costs and infrastructure are deliberately separated.</x:v>
      </x:c>
      <x:c r="C2" s="41" t="str">
        <x:v>Average case based on the inspected download, PageIndex, and answering agent code. Model/API costs and infrastructure are deliberately separated.</x:v>
      </x:c>
      <x:c r="D2" s="41" t="str">
        <x:v>Average case based on the inspected download, PageIndex, and answering agent code. Model/API costs and infrastructure are deliberately separated.</x:v>
      </x:c>
      <x:c r="E2" s="41" t="str">
        <x:v>Average case based on the inspected download, PageIndex, and answering agent code. Model/API costs and infrastructure are deliberately separated.</x:v>
      </x:c>
      <x:c r="F2" s="41" t="str">
        <x:v>Average case based on the inspected download, PageIndex, and answering agent code. Model/API costs and infrastructure are deliberately separated.</x:v>
      </x:c>
      <x:c r="G2" s="41" t="str">
        <x:v>Average case based on the inspected download, PageIndex, and answering agent code. Model/API costs and infrastructure are deliberately separated.</x:v>
      </x:c>
      <x:c r="H2" s="41" t="str">
        <x:v>Average case based on the inspected download, PageIndex, and answering agent code. Model/API costs and infrastructure are deliberately separated.</x:v>
      </x:c>
      <x:c r="I2" s="41" t="str">
        <x:v>Average case based on the inspected download, PageIndex, and answering agent code. Model/API costs and infrastructure are deliberately separated.</x:v>
      </x:c>
    </x:row>
    <x:row r="3">
      <x:c r="A3" s="71"/>
      <x:c r="B3" s="71"/>
      <x:c r="C3" s="71"/>
      <x:c r="D3" s="71"/>
      <x:c r="E3" s="71"/>
      <x:c r="F3" s="71"/>
      <x:c r="G3" s="71"/>
      <x:c r="H3" s="71"/>
      <x:c r="I3" s="71"/>
    </x:row>
    <x:row r="4">
      <x:c r="A4" s="301" t="str">
        <x:v>Current model cost</x:v>
      </x:c>
      <x:c r="B4" s="301" t="str">
        <x:v>Current model cost</x:v>
      </x:c>
      <x:c r="C4" s="301" t="str">
        <x:v>Infrastructure cost</x:v>
      </x:c>
      <x:c r="D4" s="301" t="str">
        <x:v>Infrastructure cost</x:v>
      </x:c>
      <x:c r="E4" s="301" t="str">
        <x:v>All-in current</x:v>
      </x:c>
      <x:c r="F4" s="301" t="str">
        <x:v>All-in current</x:v>
      </x:c>
      <x:c r="G4" s="301" t="str">
        <x:v>All-in after Sonnet 5 promo</x:v>
      </x:c>
      <x:c r="H4" s="301" t="str">
        <x:v>All-in after Sonnet 5 promo</x:v>
      </x:c>
      <x:c r="I4" s="301" t="str">
        <x:v>All-in after Sonnet 5 promo</x:v>
      </x:c>
    </x:row>
    <x:row r="5">
      <x:c r="A5" s="208" t="n">
        <x:f>'Model Cost'!$L$22</x:f>
        <x:v>374.68872799999997</x:v>
      </x:c>
      <x:c r="B5" s="71"/>
      <x:c r="C5" s="208" t="n">
        <x:f>'Infra Cost'!$H$57</x:f>
        <x:v>9.580881368333333</x:v>
      </x:c>
      <x:c r="D5" s="71"/>
      <x:c r="E5" s="209" t="n">
        <x:f>A5+C5</x:f>
        <x:v>384.2696093683333</x:v>
      </x:c>
      <x:c r="F5" s="71"/>
      <x:c r="G5" s="208" t="n">
        <x:f>'Model Cost'!$M$22+C5</x:f>
        <x:v>485.1296093683333</x:v>
      </x:c>
      <x:c r="H5" s="71"/>
      <x:c r="I5" s="71"/>
    </x:row>
    <x:row r="6">
      <x:c r="A6" s="71"/>
      <x:c r="B6" s="71"/>
      <x:c r="C6" s="71"/>
      <x:c r="D6" s="71"/>
      <x:c r="E6" s="71"/>
      <x:c r="F6" s="71"/>
      <x:c r="G6" s="71"/>
      <x:c r="H6" s="71"/>
      <x:c r="I6" s="71"/>
    </x:row>
    <x:row r="7">
      <x:c r="A7" s="71"/>
      <x:c r="B7" s="71"/>
      <x:c r="C7" s="71"/>
      <x:c r="D7" s="71"/>
      <x:c r="E7" s="71"/>
      <x:c r="F7" s="71"/>
      <x:c r="G7" s="71"/>
      <x:c r="H7" s="71"/>
      <x:c r="I7" s="71"/>
    </x:row>
    <x:row r="8">
      <x:c r="A8" s="302" t="str">
        <x:v>Current cost / company</x:v>
      </x:c>
      <x:c r="B8" s="302"/>
      <x:c r="C8" s="302" t="str">
        <x:v>Current cost / report</x:v>
      </x:c>
      <x:c r="D8" s="302"/>
      <x:c r="E8" s="302" t="str">
        <x:v>Answering cost / question</x:v>
      </x:c>
      <x:c r="F8" s="302"/>
      <x:c r="G8" s="302" t="str">
        <x:v>Model share of total</x:v>
      </x:c>
      <x:c r="H8" s="302"/>
      <x:c r="I8" s="71"/>
    </x:row>
    <x:row r="9">
      <x:c r="A9" s="303" t="n">
        <x:f>$E$5/'Assumptions'!$B$8</x:f>
        <x:v>19.213480468416666</x:v>
      </x:c>
      <x:c r="B9" s="303"/>
      <x:c r="C9" s="303" t="n">
        <x:f>($B$15+$C$15+$B$16+$C$16)/'Assumptions'!$B$10</x:f>
        <x:v>0.8132788790520833</x:v>
      </x:c>
      <x:c r="D9" s="303"/>
      <x:c r="E9" s="303" t="n">
        <x:f>($B$17+$C$17)/'Assumptions'!$B$12</x:f>
        <x:v>0.18730497395833334</x:v>
      </x:c>
      <x:c r="F9" s="304"/>
      <x:c r="G9" s="305" t="n">
        <x:f>$A$5/$E$5</x:f>
        <x:v>0.9750672935492284</x:v>
      </x:c>
      <x:c r="H9" s="71"/>
      <x:c r="I9" s="71"/>
    </x:row>
    <x:row r="10">
      <x:c r="A10" s="306" t="str">
        <x:v>Pricing basis</x:v>
      </x:c>
      <x:c r="B10" s="306" t="str">
        <x:v>USD; gross rates; free tiers excluded</x:v>
      </x:c>
      <x:c r="C10" s="306" t="str">
        <x:v>As-of</x:v>
      </x:c>
      <x:c r="D10" s="307" t="n">
        <x:v>46231</x:v>
      </x:c>
      <x:c r="E10" s="306" t="str">
        <x:v>Region</x:v>
      </x:c>
      <x:c r="F10" s="306" t="str">
        <x:v>us-east-1 / Vertex global</x:v>
      </x:c>
      <x:c r="G10" s="306" t="str">
        <x:v>Model status</x:v>
      </x:c>
      <x:c r="H10" s="306" t="str">
        <x:f>'Checks'!$B$2</x:f>
        <x:v>PASS</x:v>
      </x:c>
      <x:c r="I10" s="71"/>
    </x:row>
    <x:row r="11">
      <x:c r="A11" s="71"/>
      <x:c r="B11" s="71"/>
      <x:c r="C11" s="71"/>
      <x:c r="D11" s="71"/>
      <x:c r="E11" s="71"/>
      <x:c r="F11" s="71"/>
      <x:c r="G11" s="71"/>
      <x:c r="H11" s="71"/>
      <x:c r="I11" s="71"/>
    </x:row>
    <x:row r="12">
      <x:c r="A12" s="71"/>
      <x:c r="B12" s="71"/>
      <x:c r="C12" s="71"/>
      <x:c r="D12" s="71"/>
      <x:c r="E12" s="71"/>
      <x:c r="F12" s="71"/>
      <x:c r="G12" s="71"/>
      <x:c r="H12" s="71"/>
      <x:c r="I12" s="71"/>
    </x:row>
    <x:row r="13" ht="22" customHeight="1">
      <x:c r="A13" s="72" t="str">
        <x:v>Monthly cost by agent</x:v>
      </x:c>
      <x:c r="B13" s="72" t="str">
        <x:v>Monthly cost by agent</x:v>
      </x:c>
      <x:c r="C13" s="72" t="str">
        <x:v>Monthly cost by agent</x:v>
      </x:c>
      <x:c r="D13" s="72" t="str">
        <x:v>Monthly cost by agent</x:v>
      </x:c>
      <x:c r="E13" s="72" t="str">
        <x:v>Monthly cost by agent</x:v>
      </x:c>
      <x:c r="F13" s="72" t="str">
        <x:v>Monthly cost by agent</x:v>
      </x:c>
      <x:c r="G13" s="71"/>
      <x:c r="H13" s="71"/>
      <x:c r="I13" s="71"/>
    </x:row>
    <x:row r="14">
      <x:c r="A14" s="44" t="str">
        <x:v>Agent</x:v>
      </x:c>
      <x:c r="B14" s="44" t="str">
        <x:v>Model — current</x:v>
      </x:c>
      <x:c r="C14" s="44" t="str">
        <x:v>Infrastructure</x:v>
      </x:c>
      <x:c r="D14" s="44" t="str">
        <x:v>All-in — current</x:v>
      </x:c>
      <x:c r="E14" s="44" t="str">
        <x:v>Model — post-promo</x:v>
      </x:c>
      <x:c r="F14" s="44" t="str">
        <x:v>All-in — post-promo</x:v>
      </x:c>
      <x:c r="G14" s="71"/>
      <x:c r="H14" s="71"/>
      <x:c r="I14" s="71"/>
    </x:row>
    <x:row r="15">
      <x:c r="A15" s="73" t="str">
        <x:v>Download Agent</x:v>
      </x:c>
      <x:c r="B15" s="308" t="n">
        <x:f>SUMIF('Model Cost'!$A$14:$A$21,A15,'Model Cost'!$L$14:$L$21)</x:f>
        <x:v>17.688728</x:v>
      </x:c>
      <x:c r="C15" s="308" t="n">
        <x:f>SUMIF('Infra Cost'!$A$30:$A$56,A15,'Infra Cost'!$H$30:$H$56)</x:f>
        <x:v>3.6006404725</x:v>
      </x:c>
      <x:c r="D15" s="308" t="n">
        <x:f>B15+C15</x:f>
        <x:v>21.2893684725</x:v>
      </x:c>
      <x:c r="E15" s="308" t="n">
        <x:f>SUMIF('Model Cost'!$A$14:$A$21,A15,'Model Cost'!$M$14:$M$21)</x:f>
        <x:v>25.548728</x:v>
      </x:c>
      <x:c r="F15" s="308" t="n">
        <x:f>E15+C15</x:f>
        <x:v>29.1493684725</x:v>
      </x:c>
      <x:c r="G15" s="71"/>
      <x:c r="H15" s="71"/>
      <x:c r="I15" s="71"/>
    </x:row>
    <x:row r="16">
      <x:c r="A16" s="73" t="str">
        <x:v>PageIndex Agent</x:v>
      </x:c>
      <x:c r="B16" s="308" t="n">
        <x:f>SUMIF('Model Cost'!$A$14:$A$21,A16,'Model Cost'!$L$14:$L$21)</x:f>
        <x:v>171</x:v>
      </x:c>
      <x:c r="C16" s="308" t="n">
        <x:f>SUMIF('Infra Cost'!$A$30:$A$56,A16,'Infra Cost'!$H$30:$H$56)</x:f>
        <x:v>2.8975625000000003</x:v>
      </x:c>
      <x:c r="D16" s="308" t="n">
        <x:f>B16+C16</x:f>
        <x:v>173.8975625</x:v>
      </x:c>
      <x:c r="E16" s="308" t="n">
        <x:f>SUMIF('Model Cost'!$A$14:$A$21,A16,'Model Cost'!$M$14:$M$21)</x:f>
        <x:v>171</x:v>
      </x:c>
      <x:c r="F16" s="308" t="n">
        <x:f>E16+C16</x:f>
        <x:v>173.8975625</x:v>
      </x:c>
      <x:c r="G16" s="71"/>
      <x:c r="H16" s="71"/>
      <x:c r="I16" s="71"/>
    </x:row>
    <x:row r="17">
      <x:c r="A17" s="73" t="str">
        <x:v>Answering Agent</x:v>
      </x:c>
      <x:c r="B17" s="308" t="n">
        <x:f>SUMIF('Model Cost'!$A$14:$A$21,A17,'Model Cost'!$L$14:$L$21)</x:f>
        <x:v>186</x:v>
      </x:c>
      <x:c r="C17" s="308" t="n">
        <x:f>SUMIF('Infra Cost'!$A$30:$A$56,A17,'Infra Cost'!$H$30:$H$56)</x:f>
        <x:v>1.3049739583333333</x:v>
      </x:c>
      <x:c r="D17" s="308" t="n">
        <x:f>B17+C17</x:f>
        <x:v>187.30497395833333</x:v>
      </x:c>
      <x:c r="E17" s="308" t="n">
        <x:f>SUMIF('Model Cost'!$A$14:$A$21,A17,'Model Cost'!$M$14:$M$21)</x:f>
        <x:v>279</x:v>
      </x:c>
      <x:c r="F17" s="308" t="n">
        <x:f>E17+C17</x:f>
        <x:v>280.30497395833333</x:v>
      </x:c>
      <x:c r="G17" s="71"/>
      <x:c r="H17" s="71"/>
      <x:c r="I17" s="71"/>
    </x:row>
    <x:row r="18">
      <x:c r="A18" s="78" t="str">
        <x:v>Shared</x:v>
      </x:c>
      <x:c r="B18" s="309" t="n">
        <x:f>SUMIF('Model Cost'!$A$14:$A$21,A18,'Model Cost'!$L$14:$L$21)</x:f>
        <x:v>0</x:v>
      </x:c>
      <x:c r="C18" s="309" t="n">
        <x:f>SUMIF('Infra Cost'!$A$30:$A$56,A18,'Infra Cost'!$H$30:$H$56)</x:f>
        <x:v>1.7777044375000002</x:v>
      </x:c>
      <x:c r="D18" s="309" t="n">
        <x:f>B18+C18</x:f>
        <x:v>1.7777044375000002</x:v>
      </x:c>
      <x:c r="E18" s="309" t="n">
        <x:f>SUMIF('Model Cost'!$A$14:$A$21,A18,'Model Cost'!$M$14:$M$21)</x:f>
        <x:v>0</x:v>
      </x:c>
      <x:c r="F18" s="309" t="n">
        <x:f>E18+C18</x:f>
        <x:v>1.7777044375000002</x:v>
      </x:c>
      <x:c r="G18" s="71"/>
      <x:c r="H18" s="71"/>
      <x:c r="I18" s="71"/>
    </x:row>
    <x:row r="19">
      <x:c r="A19" s="71"/>
      <x:c r="B19" s="71"/>
      <x:c r="C19" s="71"/>
      <x:c r="D19" s="71"/>
      <x:c r="E19" s="71"/>
      <x:c r="F19" s="71"/>
      <x:c r="G19" s="71"/>
      <x:c r="H19" s="71"/>
      <x:c r="I19" s="71"/>
    </x:row>
    <x:row r="20">
      <x:c r="A20" s="71"/>
      <x:c r="B20" s="71"/>
      <x:c r="C20" s="71"/>
      <x:c r="D20" s="71"/>
      <x:c r="E20" s="71"/>
      <x:c r="F20" s="71"/>
      <x:c r="G20" s="71"/>
      <x:c r="H20" s="71"/>
      <x:c r="I20" s="71"/>
    </x:row>
    <x:row r="21" ht="22" customHeight="1">
      <x:c r="A21" s="72" t="str">
        <x:v>Current model cost by model</x:v>
      </x:c>
      <x:c r="B21" s="72" t="str">
        <x:v>Current model cost by model</x:v>
      </x:c>
      <x:c r="C21" s="72" t="str">
        <x:v>Current model cost by model</x:v>
      </x:c>
      <x:c r="D21" s="71"/>
      <x:c r="E21" s="71"/>
      <x:c r="F21" s="71"/>
      <x:c r="G21" s="71"/>
      <x:c r="H21" s="71"/>
      <x:c r="I21" s="71"/>
    </x:row>
    <x:row r="22">
      <x:c r="A22" s="44" t="str">
        <x:v>Model / service</x:v>
      </x:c>
      <x:c r="B22" s="44" t="str">
        <x:v>Current monthly</x:v>
      </x:c>
      <x:c r="C22" s="44" t="str">
        <x:v>Post-promo monthly</x:v>
      </x:c>
      <x:c r="D22" s="71"/>
      <x:c r="E22" s="71"/>
      <x:c r="F22" s="71"/>
      <x:c r="G22" s="71"/>
      <x:c r="H22" s="71"/>
      <x:c r="I22" s="71"/>
    </x:row>
    <x:row r="23">
      <x:c r="A23" s="73" t="str">
        <x:v>Claude Sonnet 5</x:v>
      </x:c>
      <x:c r="B23" s="308" t="n">
        <x:f>SUMIF('Model Cost'!$C$14:$C$21,A23,'Model Cost'!$L$14:$L$21)</x:f>
        <x:v>201.72</x:v>
      </x:c>
      <x:c r="C23" s="308" t="n">
        <x:f>SUMIF('Model Cost'!$C$14:$C$21,A23,'Model Cost'!$M$14:$M$21)</x:f>
        <x:v>302.58</x:v>
      </x:c>
      <x:c r="D23" s="71"/>
      <x:c r="E23" s="71"/>
      <x:c r="F23" s="71"/>
      <x:c r="G23" s="71"/>
      <x:c r="H23" s="71"/>
      <x:c r="I23" s="71"/>
    </x:row>
    <x:row r="24">
      <x:c r="A24" s="73" t="str">
        <x:v>Claude Sonnet 4.5</x:v>
      </x:c>
      <x:c r="B24" s="308" t="n">
        <x:f>SUMIF('Model Cost'!$C$14:$C$21,A24,'Model Cost'!$L$14:$L$21)</x:f>
        <x:v>171</x:v>
      </x:c>
      <x:c r="C24" s="308" t="n">
        <x:f>SUMIF('Model Cost'!$C$14:$C$21,A24,'Model Cost'!$M$14:$M$21)</x:f>
        <x:v>171</x:v>
      </x:c>
      <x:c r="D24" s="71"/>
      <x:c r="E24" s="71"/>
      <x:c r="F24" s="71"/>
      <x:c r="G24" s="71"/>
      <x:c r="H24" s="71"/>
      <x:c r="I24" s="71"/>
    </x:row>
    <x:row r="25">
      <x:c r="A25" s="73" t="str">
        <x:v>Gemini 2.5 Flash (thinking)</x:v>
      </x:c>
      <x:c r="B25" s="308" t="n">
        <x:f>SUMIF('Model Cost'!$C$14:$C$21,A25,'Model Cost'!$L$14:$L$21)</x:f>
        <x:v>1.9631</x:v>
      </x:c>
      <x:c r="C25" s="308" t="n">
        <x:f>SUMIF('Model Cost'!$C$14:$C$21,A25,'Model Cost'!$M$14:$M$21)</x:f>
        <x:v>1.9631</x:v>
      </x:c>
      <x:c r="D25" s="71"/>
      <x:c r="E25" s="71"/>
      <x:c r="F25" s="71"/>
      <x:c r="G25" s="71"/>
      <x:c r="H25" s="71"/>
      <x:c r="I25" s="71"/>
    </x:row>
    <x:row r="26">
      <x:c r="A26" s="73" t="str">
        <x:v>Amazon Nova 2 Lite</x:v>
      </x:c>
      <x:c r="B26" s="308" t="n">
        <x:f>SUMIF('Model Cost'!$C$14:$C$21,A26,'Model Cost'!$L$14:$L$21)</x:f>
        <x:v>0.005627999999999999</x:v>
      </x:c>
      <x:c r="C26" s="308" t="n">
        <x:f>SUMIF('Model Cost'!$C$14:$C$21,A26,'Model Cost'!$M$14:$M$21)</x:f>
        <x:v>0.005627999999999999</x:v>
      </x:c>
      <x:c r="D26" s="71"/>
      <x:c r="E26" s="71"/>
      <x:c r="F26" s="71"/>
      <x:c r="G26" s="71"/>
      <x:c r="H26" s="71"/>
      <x:c r="I26" s="71"/>
    </x:row>
    <x:row r="27">
      <x:c r="A27" s="78" t="str">
        <x:v>Vertex grounding</x:v>
      </x:c>
      <x:c r="B27" s="309" t="n">
        <x:f>SUMIF('Model Cost'!$C$14:$C$21,A27,'Model Cost'!$L$14:$L$21)</x:f>
        <x:v>0</x:v>
      </x:c>
      <x:c r="C27" s="309" t="n">
        <x:f>SUMIF('Model Cost'!$C$14:$C$21,A27,'Model Cost'!$M$14:$M$21)</x:f>
        <x:v>0</x:v>
      </x:c>
      <x:c r="D27" s="71"/>
      <x:c r="E27" s="71"/>
      <x:c r="F27" s="71"/>
      <x:c r="G27" s="71"/>
      <x:c r="H27" s="71"/>
      <x:c r="I27" s="71"/>
    </x:row>
    <x:row r="28">
      <x:c r="A28" s="71"/>
      <x:c r="B28" s="71"/>
      <x:c r="C28" s="71"/>
      <x:c r="D28" s="71"/>
      <x:c r="E28" s="71"/>
      <x:c r="F28" s="71"/>
      <x:c r="G28" s="71"/>
      <x:c r="H28" s="71"/>
      <x:c r="I28" s="71"/>
    </x:row>
    <x:row r="29">
      <x:c r="A29" s="71"/>
      <x:c r="B29" s="71"/>
      <x:c r="C29" s="71"/>
      <x:c r="D29" s="71"/>
      <x:c r="E29" s="71"/>
      <x:c r="F29" s="71"/>
      <x:c r="G29" s="71"/>
      <x:c r="H29" s="71"/>
      <x:c r="I29" s="71"/>
    </x:row>
    <x:row r="30">
      <x:c r="A30" s="310" t="str">
        <x:v>Interpretation: PageIndex and the answering ReAct loop are the dominant model-cost drivers. Vertex Google Search grounding is $0 in the base case because the workload is far below the 1,500 grounded-prompts/day allowance, but Gemini token charges still apply. The download agent’s Vertex Lambda and browser/runtime costs remain infrastructure, not model spend. PageIndex token usage is estimated because the referenced PageIndex library is not present in this workspace; replace the per-report token assumptions with CloudWatch/Bedrock usage telemetry after a representative run. A dedicated PageIndex EC2 orchestrator is excluded because the supplied Terraform neither provisions nor sizes it.</x:v>
      </x:c>
      <x:c r="B30" s="311" t="str">
        <x:v>Interpretation: PageIndex and the answering ReAct loop are the dominant model-cost drivers. Vertex Google Search grounding is $0 in the base case because the workload is far below the 1,500 grounded-prompts/day allowance, but Gemini token charges still apply. The download agent’s Vertex Lambda and browser/runtime costs remain infrastructure, not model spend. PageIndex token usage is estimated because the referenced PageIndex library is not present in this workspace; replace the per-report token assumptions with CloudWatch/Bedrock usage telemetry after a representative run. A dedicated PageIndex EC2 orchestrator is excluded because the supplied Terraform neither provisions nor sizes it.</x:v>
      </x:c>
      <x:c r="C30" s="311" t="str">
        <x:v>Interpretation: PageIndex and the answering ReAct loop are the dominant model-cost drivers. Vertex Google Search grounding is $0 in the base case because the workload is far below the 1,500 grounded-prompts/day allowance, but Gemini token charges still apply. The download agent’s Vertex Lambda and browser/runtime costs remain infrastructure, not model spend. PageIndex token usage is estimated because the referenced PageIndex library is not present in this workspace; replace the per-report token assumptions with CloudWatch/Bedrock usage telemetry after a representative run. A dedicated PageIndex EC2 orchestrator is excluded because the supplied Terraform neither provisions nor sizes it.</x:v>
      </x:c>
      <x:c r="D30" s="311" t="str">
        <x:v>Interpretation: PageIndex and the answering ReAct loop are the dominant model-cost drivers. Vertex Google Search grounding is $0 in the base case because the workload is far below the 1,500 grounded-prompts/day allowance, but Gemini token charges still apply. The download agent’s Vertex Lambda and browser/runtime costs remain infrastructure, not model spend. PageIndex token usage is estimated because the referenced PageIndex library is not present in this workspace; replace the per-report token assumptions with CloudWatch/Bedrock usage telemetry after a representative run. A dedicated PageIndex EC2 orchestrator is excluded because the supplied Terraform neither provisions nor sizes it.</x:v>
      </x:c>
      <x:c r="E30" s="311" t="str">
        <x:v>Interpretation: PageIndex and the answering ReAct loop are the dominant model-cost drivers. Vertex Google Search grounding is $0 in the base case because the workload is far below the 1,500 grounded-prompts/day allowance, but Gemini token charges still apply. The download agent’s Vertex Lambda and browser/runtime costs remain infrastructure, not model spend. PageIndex token usage is estimated because the referenced PageIndex library is not present in this workspace; replace the per-report token assumptions with CloudWatch/Bedrock usage telemetry after a representative run. A dedicated PageIndex EC2 orchestrator is excluded because the supplied Terraform neither provisions nor sizes it.</x:v>
      </x:c>
      <x:c r="F30" s="311" t="str">
        <x:v>Interpretation: PageIndex and the answering ReAct loop are the dominant model-cost drivers. Vertex Google Search grounding is $0 in the base case because the workload is far below the 1,500 grounded-prompts/day allowance, but Gemini token charges still apply. The download agent’s Vertex Lambda and browser/runtime costs remain infrastructure, not model spend. PageIndex token usage is estimated because the referenced PageIndex library is not present in this workspace; replace the per-report token assumptions with CloudWatch/Bedrock usage telemetry after a representative run. A dedicated PageIndex EC2 orchestrator is excluded because the supplied Terraform neither provisions nor sizes it.</x:v>
      </x:c>
      <x:c r="G30" s="311" t="str">
        <x:v>Interpretation: PageIndex and the answering ReAct loop are the dominant model-cost drivers. Vertex Google Search grounding is $0 in the base case because the workload is far below the 1,500 grounded-prompts/day allowance, but Gemini token charges still apply. The download agent’s Vertex Lambda and browser/runtime costs remain infrastructure, not model spend. PageIndex token usage is estimated because the referenced PageIndex library is not present in this workspace; replace the per-report token assumptions with CloudWatch/Bedrock usage telemetry after a representative run. A dedicated PageIndex EC2 orchestrator is excluded because the supplied Terraform neither provisions nor sizes it.</x:v>
      </x:c>
      <x:c r="H30" s="311" t="str">
        <x:v>Interpretation: PageIndex and the answering ReAct loop are the dominant model-cost drivers. Vertex Google Search grounding is $0 in the base case because the workload is far below the 1,500 grounded-prompts/day allowance, but Gemini token charges still apply. The download agent’s Vertex Lambda and browser/runtime costs remain infrastructure, not model spend. PageIndex token usage is estimated because the referenced PageIndex library is not present in this workspace; replace the per-report token assumptions with CloudWatch/Bedrock usage telemetry after a representative run. A dedicated PageIndex EC2 orchestrator is excluded because the supplied Terraform neither provisions nor sizes it.</x:v>
      </x:c>
      <x:c r="I30" s="312" t="str">
        <x:v>Interpretation: PageIndex and the answering ReAct loop are the dominant model-cost drivers. Vertex Google Search grounding is $0 in the base case because the workload is far below the 1,500 grounded-prompts/day allowance, but Gemini token charges still apply. The download agent’s Vertex Lambda and browser/runtime costs remain infrastructure, not model spend. PageIndex token usage is estimated because the referenced PageIndex library is not present in this workspace; replace the per-report token assumptions with CloudWatch/Bedrock usage telemetry after a representative run. A dedicated PageIndex EC2 orchestrator is excluded because the supplied Terraform neither provisions nor sizes it.</x:v>
      </x:c>
    </x:row>
    <x:row r="31">
      <x:c r="A31" s="313" t="str">
        <x:v>Interpretation: PageIndex and the answering ReAct loop are the dominant model-cost drivers. Vertex Google Search grounding is $0 in the base case because the workload is far below the 1,500 grounded-prompts/day allowance, but Gemini token charges still apply. The download agent’s Vertex Lambda and browser/runtime costs remain infrastructure, not model spend. PageIndex token usage is estimated because the referenced PageIndex library is not present in this workspace; replace the per-report token assumptions with CloudWatch/Bedrock usage telemetry after a representative run. A dedicated PageIndex EC2 orchestrator is excluded because the supplied Terraform neither provisions nor sizes it.</x:v>
      </x:c>
      <x:c r="B31" s="314" t="str">
        <x:v>Interpretation: PageIndex and the answering ReAct loop are the dominant model-cost drivers. Vertex Google Search grounding is $0 in the base case because the workload is far below the 1,500 grounded-prompts/day allowance, but Gemini token charges still apply. The download agent’s Vertex Lambda and browser/runtime costs remain infrastructure, not model spend. PageIndex token usage is estimated because the referenced PageIndex library is not present in this workspace; replace the per-report token assumptions with CloudWatch/Bedrock usage telemetry after a representative run. A dedicated PageIndex EC2 orchestrator is excluded because the supplied Terraform neither provisions nor sizes it.</x:v>
      </x:c>
      <x:c r="C31" s="314" t="str">
        <x:v>Interpretation: PageIndex and the answering ReAct loop are the dominant model-cost drivers. Vertex Google Search grounding is $0 in the base case because the workload is far below the 1,500 grounded-prompts/day allowance, but Gemini token charges still apply. The download agent’s Vertex Lambda and browser/runtime costs remain infrastructure, not model spend. PageIndex token usage is estimated because the referenced PageIndex library is not present in this workspace; replace the per-report token assumptions with CloudWatch/Bedrock usage telemetry after a representative run. A dedicated PageIndex EC2 orchestrator is excluded because the supplied Terraform neither provisions nor sizes it.</x:v>
      </x:c>
      <x:c r="D31" s="314" t="str">
        <x:v>Interpretation: PageIndex and the answering ReAct loop are the dominant model-cost drivers. Vertex Google Search grounding is $0 in the base case because the workload is far below the 1,500 grounded-prompts/day allowance, but Gemini token charges still apply. The download agent’s Vertex Lambda and browser/runtime costs remain infrastructure, not model spend. PageIndex token usage is estimated because the referenced PageIndex library is not present in this workspace; replace the per-report token assumptions with CloudWatch/Bedrock usage telemetry after a representative run. A dedicated PageIndex EC2 orchestrator is excluded because the supplied Terraform neither provisions nor sizes it.</x:v>
      </x:c>
      <x:c r="E31" s="314" t="str">
        <x:v>Interpretation: PageIndex and the answering ReAct loop are the dominant model-cost drivers. Vertex Google Search grounding is $0 in the base case because the workload is far below the 1,500 grounded-prompts/day allowance, but Gemini token charges still apply. The download agent’s Vertex Lambda and browser/runtime costs remain infrastructure, not model spend. PageIndex token usage is estimated because the referenced PageIndex library is not present in this workspace; replace the per-report token assumptions with CloudWatch/Bedrock usage telemetry after a representative run. A dedicated PageIndex EC2 orchestrator is excluded because the supplied Terraform neither provisions nor sizes it.</x:v>
      </x:c>
      <x:c r="F31" s="314" t="str">
        <x:v>Interpretation: PageIndex and the answering ReAct loop are the dominant model-cost drivers. Vertex Google Search grounding is $0 in the base case because the workload is far below the 1,500 grounded-prompts/day allowance, but Gemini token charges still apply. The download agent’s Vertex Lambda and browser/runtime costs remain infrastructure, not model spend. PageIndex token usage is estimated because the referenced PageIndex library is not present in this workspace; replace the per-report token assumptions with CloudWatch/Bedrock usage telemetry after a representative run. A dedicated PageIndex EC2 orchestrator is excluded because the supplied Terraform neither provisions nor sizes it.</x:v>
      </x:c>
      <x:c r="G31" s="314" t="str">
        <x:v>Interpretation: PageIndex and the answering ReAct loop are the dominant model-cost drivers. Vertex Google Search grounding is $0 in the base case because the workload is far below the 1,500 grounded-prompts/day allowance, but Gemini token charges still apply. The download agent’s Vertex Lambda and browser/runtime costs remain infrastructure, not model spend. PageIndex token usage is estimated because the referenced PageIndex library is not present in this workspace; replace the per-report token assumptions with CloudWatch/Bedrock usage telemetry after a representative run. A dedicated PageIndex EC2 orchestrator is excluded because the supplied Terraform neither provisions nor sizes it.</x:v>
      </x:c>
      <x:c r="H31" s="314" t="str">
        <x:v>Interpretation: PageIndex and the answering ReAct loop are the dominant model-cost drivers. Vertex Google Search grounding is $0 in the base case because the workload is far below the 1,500 grounded-prompts/day allowance, but Gemini token charges still apply. The download agent’s Vertex Lambda and browser/runtime costs remain infrastructure, not model spend. PageIndex token usage is estimated because the referenced PageIndex library is not present in this workspace; replace the per-report token assumptions with CloudWatch/Bedrock usage telemetry after a representative run. A dedicated PageIndex EC2 orchestrator is excluded because the supplied Terraform neither provisions nor sizes it.</x:v>
      </x:c>
      <x:c r="I31" s="315" t="str">
        <x:v>Interpretation: PageIndex and the answering ReAct loop are the dominant model-cost drivers. Vertex Google Search grounding is $0 in the base case because the workload is far below the 1,500 grounded-prompts/day allowance, but Gemini token charges still apply. The download agent’s Vertex Lambda and browser/runtime costs remain infrastructure, not model spend. PageIndex token usage is estimated because the referenced PageIndex library is not present in this workspace; replace the per-report token assumptions with CloudWatch/Bedrock usage telemetry after a representative run. A dedicated PageIndex EC2 orchestrator is excluded because the supplied Terraform neither provisions nor sizes it.</x:v>
      </x:c>
    </x:row>
    <x:row r="32">
      <x:c r="A32" s="313" t="str">
        <x:v>Interpretation: PageIndex and the answering ReAct loop are the dominant model-cost drivers. Vertex Google Search grounding is $0 in the base case because the workload is far below the 1,500 grounded-prompts/day allowance, but Gemini token charges still apply. The download agent’s Vertex Lambda and browser/runtime costs remain infrastructure, not model spend. PageIndex token usage is estimated because the referenced PageIndex library is not present in this workspace; replace the per-report token assumptions with CloudWatch/Bedrock usage telemetry after a representative run. A dedicated PageIndex EC2 orchestrator is excluded because the supplied Terraform neither provisions nor sizes it.</x:v>
      </x:c>
      <x:c r="B32" s="314" t="str">
        <x:v>Interpretation: PageIndex and the answering ReAct loop are the dominant model-cost drivers. Vertex Google Search grounding is $0 in the base case because the workload is far below the 1,500 grounded-prompts/day allowance, but Gemini token charges still apply. The download agent’s Vertex Lambda and browser/runtime costs remain infrastructure, not model spend. PageIndex token usage is estimated because the referenced PageIndex library is not present in this workspace; replace the per-report token assumptions with CloudWatch/Bedrock usage telemetry after a representative run. A dedicated PageIndex EC2 orchestrator is excluded because the supplied Terraform neither provisions nor sizes it.</x:v>
      </x:c>
      <x:c r="C32" s="314" t="str">
        <x:v>Interpretation: PageIndex and the answering ReAct loop are the dominant model-cost drivers. Vertex Google Search grounding is $0 in the base case because the workload is far below the 1,500 grounded-prompts/day allowance, but Gemini token charges still apply. The download agent’s Vertex Lambda and browser/runtime costs remain infrastructure, not model spend. PageIndex token usage is estimated because the referenced PageIndex library is not present in this workspace; replace the per-report token assumptions with CloudWatch/Bedrock usage telemetry after a representative run. A dedicated PageIndex EC2 orchestrator is excluded because the supplied Terraform neither provisions nor sizes it.</x:v>
      </x:c>
      <x:c r="D32" s="314" t="str">
        <x:v>Interpretation: PageIndex and the answering ReAct loop are the dominant model-cost drivers. Vertex Google Search grounding is $0 in the base case because the workload is far below the 1,500 grounded-prompts/day allowance, but Gemini token charges still apply. The download agent’s Vertex Lambda and browser/runtime costs remain infrastructure, not model spend. PageIndex token usage is estimated because the referenced PageIndex library is not present in this workspace; replace the per-report token assumptions with CloudWatch/Bedrock usage telemetry after a representative run. A dedicated PageIndex EC2 orchestrator is excluded because the supplied Terraform neither provisions nor sizes it.</x:v>
      </x:c>
      <x:c r="E32" s="314" t="str">
        <x:v>Interpretation: PageIndex and the answering ReAct loop are the dominant model-cost drivers. Vertex Google Search grounding is $0 in the base case because the workload is far below the 1,500 grounded-prompts/day allowance, but Gemini token charges still apply. The download agent’s Vertex Lambda and browser/runtime costs remain infrastructure, not model spend. PageIndex token usage is estimated because the referenced PageIndex library is not present in this workspace; replace the per-report token assumptions with CloudWatch/Bedrock usage telemetry after a representative run. A dedicated PageIndex EC2 orchestrator is excluded because the supplied Terraform neither provisions nor sizes it.</x:v>
      </x:c>
      <x:c r="F32" s="314" t="str">
        <x:v>Interpretation: PageIndex and the answering ReAct loop are the dominant model-cost drivers. Vertex Google Search grounding is $0 in the base case because the workload is far below the 1,500 grounded-prompts/day allowance, but Gemini token charges still apply. The download agent’s Vertex Lambda and browser/runtime costs remain infrastructure, not model spend. PageIndex token usage is estimated because the referenced PageIndex library is not present in this workspace; replace the per-report token assumptions with CloudWatch/Bedrock usage telemetry after a representative run. A dedicated PageIndex EC2 orchestrator is excluded because the supplied Terraform neither provisions nor sizes it.</x:v>
      </x:c>
      <x:c r="G32" s="314" t="str">
        <x:v>Interpretation: PageIndex and the answering ReAct loop are the dominant model-cost drivers. Vertex Google Search grounding is $0 in the base case because the workload is far below the 1,500 grounded-prompts/day allowance, but Gemini token charges still apply. The download agent’s Vertex Lambda and browser/runtime costs remain infrastructure, not model spend. PageIndex token usage is estimated because the referenced PageIndex library is not present in this workspace; replace the per-report token assumptions with CloudWatch/Bedrock usage telemetry after a representative run. A dedicated PageIndex EC2 orchestrator is excluded because the supplied Terraform neither provisions nor sizes it.</x:v>
      </x:c>
      <x:c r="H32" s="314" t="str">
        <x:v>Interpretation: PageIndex and the answering ReAct loop are the dominant model-cost drivers. Vertex Google Search grounding is $0 in the base case because the workload is far below the 1,500 grounded-prompts/day allowance, but Gemini token charges still apply. The download agent’s Vertex Lambda and browser/runtime costs remain infrastructure, not model spend. PageIndex token usage is estimated because the referenced PageIndex library is not present in this workspace; replace the per-report token assumptions with CloudWatch/Bedrock usage telemetry after a representative run. A dedicated PageIndex EC2 orchestrator is excluded because the supplied Terraform neither provisions nor sizes it.</x:v>
      </x:c>
      <x:c r="I32" s="315" t="str">
        <x:v>Interpretation: PageIndex and the answering ReAct loop are the dominant model-cost drivers. Vertex Google Search grounding is $0 in the base case because the workload is far below the 1,500 grounded-prompts/day allowance, but Gemini token charges still apply. The download agent’s Vertex Lambda and browser/runtime costs remain infrastructure, not model spend. PageIndex token usage is estimated because the referenced PageIndex library is not present in this workspace; replace the per-report token assumptions with CloudWatch/Bedrock usage telemetry after a representative run. A dedicated PageIndex EC2 orchestrator is excluded because the supplied Terraform neither provisions nor sizes it.</x:v>
      </x:c>
    </x:row>
    <x:row r="33">
      <x:c r="A33" s="313" t="str">
        <x:v>Interpretation: PageIndex and the answering ReAct loop are the dominant model-cost drivers. Vertex Google Search grounding is $0 in the base case because the workload is far below the 1,500 grounded-prompts/day allowance, but Gemini token charges still apply. The download agent’s Vertex Lambda and browser/runtime costs remain infrastructure, not model spend. PageIndex token usage is estimated because the referenced PageIndex library is not present in this workspace; replace the per-report token assumptions with CloudWatch/Bedrock usage telemetry after a representative run. A dedicated PageIndex EC2 orchestrator is excluded because the supplied Terraform neither provisions nor sizes it.</x:v>
      </x:c>
      <x:c r="B33" s="314" t="str">
        <x:v>Interpretation: PageIndex and the answering ReAct loop are the dominant model-cost drivers. Vertex Google Search grounding is $0 in the base case because the workload is far below the 1,500 grounded-prompts/day allowance, but Gemini token charges still apply. The download agent’s Vertex Lambda and browser/runtime costs remain infrastructure, not model spend. PageIndex token usage is estimated because the referenced PageIndex library is not present in this workspace; replace the per-report token assumptions with CloudWatch/Bedrock usage telemetry after a representative run. A dedicated PageIndex EC2 orchestrator is excluded because the supplied Terraform neither provisions nor sizes it.</x:v>
      </x:c>
      <x:c r="C33" s="314" t="str">
        <x:v>Interpretation: PageIndex and the answering ReAct loop are the dominant model-cost drivers. Vertex Google Search grounding is $0 in the base case because the workload is far below the 1,500 grounded-prompts/day allowance, but Gemini token charges still apply. The download agent’s Vertex Lambda and browser/runtime costs remain infrastructure, not model spend. PageIndex token usage is estimated because the referenced PageIndex library is not present in this workspace; replace the per-report token assumptions with CloudWatch/Bedrock usage telemetry after a representative run. A dedicated PageIndex EC2 orchestrator is excluded because the supplied Terraform neither provisions nor sizes it.</x:v>
      </x:c>
      <x:c r="D33" s="314" t="str">
        <x:v>Interpretation: PageIndex and the answering ReAct loop are the dominant model-cost drivers. Vertex Google Search grounding is $0 in the base case because the workload is far below the 1,500 grounded-prompts/day allowance, but Gemini token charges still apply. The download agent’s Vertex Lambda and browser/runtime costs remain infrastructure, not model spend. PageIndex token usage is estimated because the referenced PageIndex library is not present in this workspace; replace the per-report token assumptions with CloudWatch/Bedrock usage telemetry after a representative run. A dedicated PageIndex EC2 orchestrator is excluded because the supplied Terraform neither provisions nor sizes it.</x:v>
      </x:c>
      <x:c r="E33" s="314" t="str">
        <x:v>Interpretation: PageIndex and the answering ReAct loop are the dominant model-cost drivers. Vertex Google Search grounding is $0 in the base case because the workload is far below the 1,500 grounded-prompts/day allowance, but Gemini token charges still apply. The download agent’s Vertex Lambda and browser/runtime costs remain infrastructure, not model spend. PageIndex token usage is estimated because the referenced PageIndex library is not present in this workspace; replace the per-report token assumptions with CloudWatch/Bedrock usage telemetry after a representative run. A dedicated PageIndex EC2 orchestrator is excluded because the supplied Terraform neither provisions nor sizes it.</x:v>
      </x:c>
      <x:c r="F33" s="314" t="str">
        <x:v>Interpretation: PageIndex and the answering ReAct loop are the dominant model-cost drivers. Vertex Google Search grounding is $0 in the base case because the workload is far below the 1,500 grounded-prompts/day allowance, but Gemini token charges still apply. The download agent’s Vertex Lambda and browser/runtime costs remain infrastructure, not model spend. PageIndex token usage is estimated because the referenced PageIndex library is not present in this workspace; replace the per-report token assumptions with CloudWatch/Bedrock usage telemetry after a representative run. A dedicated PageIndex EC2 orchestrator is excluded because the supplied Terraform neither provisions nor sizes it.</x:v>
      </x:c>
      <x:c r="G33" s="314" t="str">
        <x:v>Interpretation: PageIndex and the answering ReAct loop are the dominant model-cost drivers. Vertex Google Search grounding is $0 in the base case because the workload is far below the 1,500 grounded-prompts/day allowance, but Gemini token charges still apply. The download agent’s Vertex Lambda and browser/runtime costs remain infrastructure, not model spend. PageIndex token usage is estimated because the referenced PageIndex library is not present in this workspace; replace the per-report token assumptions with CloudWatch/Bedrock usage telemetry after a representative run. A dedicated PageIndex EC2 orchestrator is excluded because the supplied Terraform neither provisions nor sizes it.</x:v>
      </x:c>
      <x:c r="H33" s="314" t="str">
        <x:v>Interpretation: PageIndex and the answering ReAct loop are the dominant model-cost drivers. Vertex Google Search grounding is $0 in the base case because the workload is far below the 1,500 grounded-prompts/day allowance, but Gemini token charges still apply. The download agent’s Vertex Lambda and browser/runtime costs remain infrastructure, not model spend. PageIndex token usage is estimated because the referenced PageIndex library is not present in this workspace; replace the per-report token assumptions with CloudWatch/Bedrock usage telemetry after a representative run. A dedicated PageIndex EC2 orchestrator is excluded because the supplied Terraform neither provisions nor sizes it.</x:v>
      </x:c>
      <x:c r="I33" s="315" t="str">
        <x:v>Interpretation: PageIndex and the answering ReAct loop are the dominant model-cost drivers. Vertex Google Search grounding is $0 in the base case because the workload is far below the 1,500 grounded-prompts/day allowance, but Gemini token charges still apply. The download agent’s Vertex Lambda and browser/runtime costs remain infrastructure, not model spend. PageIndex token usage is estimated because the referenced PageIndex library is not present in this workspace; replace the per-report token assumptions with CloudWatch/Bedrock usage telemetry after a representative run. A dedicated PageIndex EC2 orchestrator is excluded because the supplied Terraform neither provisions nor sizes it.</x:v>
      </x:c>
    </x:row>
    <x:row r="34">
      <x:c r="A34" s="316" t="str">
        <x:v>Interpretation: PageIndex and the answering ReAct loop are the dominant model-cost drivers. Vertex Google Search grounding is $0 in the base case because the workload is far below the 1,500 grounded-prompts/day allowance, but Gemini token charges still apply. The download agent’s Vertex Lambda and browser/runtime costs remain infrastructure, not model spend. PageIndex token usage is estimated because the referenced PageIndex library is not present in this workspace; replace the per-report token assumptions with CloudWatch/Bedrock usage telemetry after a representative run. A dedicated PageIndex EC2 orchestrator is excluded because the supplied Terraform neither provisions nor sizes it.</x:v>
      </x:c>
      <x:c r="B34" s="317" t="str">
        <x:v>Interpretation: PageIndex and the answering ReAct loop are the dominant model-cost drivers. Vertex Google Search grounding is $0 in the base case because the workload is far below the 1,500 grounded-prompts/day allowance, but Gemini token charges still apply. The download agent’s Vertex Lambda and browser/runtime costs remain infrastructure, not model spend. PageIndex token usage is estimated because the referenced PageIndex library is not present in this workspace; replace the per-report token assumptions with CloudWatch/Bedrock usage telemetry after a representative run. A dedicated PageIndex EC2 orchestrator is excluded because the supplied Terraform neither provisions nor sizes it.</x:v>
      </x:c>
      <x:c r="C34" s="317" t="str">
        <x:v>Interpretation: PageIndex and the answering ReAct loop are the dominant model-cost drivers. Vertex Google Search grounding is $0 in the base case because the workload is far below the 1,500 grounded-prompts/day allowance, but Gemini token charges still apply. The download agent’s Vertex Lambda and browser/runtime costs remain infrastructure, not model spend. PageIndex token usage is estimated because the referenced PageIndex library is not present in this workspace; replace the per-report token assumptions with CloudWatch/Bedrock usage telemetry after a representative run. A dedicated PageIndex EC2 orchestrator is excluded because the supplied Terraform neither provisions nor sizes it.</x:v>
      </x:c>
      <x:c r="D34" s="317" t="str">
        <x:v>Interpretation: PageIndex and the answering ReAct loop are the dominant model-cost drivers. Vertex Google Search grounding is $0 in the base case because the workload is far below the 1,500 grounded-prompts/day allowance, but Gemini token charges still apply. The download agent’s Vertex Lambda and browser/runtime costs remain infrastructure, not model spend. PageIndex token usage is estimated because the referenced PageIndex library is not present in this workspace; replace the per-report token assumptions with CloudWatch/Bedrock usage telemetry after a representative run. A dedicated PageIndex EC2 orchestrator is excluded because the supplied Terraform neither provisions nor sizes it.</x:v>
      </x:c>
      <x:c r="E34" s="317" t="str">
        <x:v>Interpretation: PageIndex and the answering ReAct loop are the dominant model-cost drivers. Vertex Google Search grounding is $0 in the base case because the workload is far below the 1,500 grounded-prompts/day allowance, but Gemini token charges still apply. The download agent’s Vertex Lambda and browser/runtime costs remain infrastructure, not model spend. PageIndex token usage is estimated because the referenced PageIndex library is not present in this workspace; replace the per-report token assumptions with CloudWatch/Bedrock usage telemetry after a representative run. A dedicated PageIndex EC2 orchestrator is excluded because the supplied Terraform neither provisions nor sizes it.</x:v>
      </x:c>
      <x:c r="F34" s="317" t="str">
        <x:v>Interpretation: PageIndex and the answering ReAct loop are the dominant model-cost drivers. Vertex Google Search grounding is $0 in the base case because the workload is far below the 1,500 grounded-prompts/day allowance, but Gemini token charges still apply. The download agent’s Vertex Lambda and browser/runtime costs remain infrastructure, not model spend. PageIndex token usage is estimated because the referenced PageIndex library is not present in this workspace; replace the per-report token assumptions with CloudWatch/Bedrock usage telemetry after a representative run. A dedicated PageIndex EC2 orchestrator is excluded because the supplied Terraform neither provisions nor sizes it.</x:v>
      </x:c>
      <x:c r="G34" s="317" t="str">
        <x:v>Interpretation: PageIndex and the answering ReAct loop are the dominant model-cost drivers. Vertex Google Search grounding is $0 in the base case because the workload is far below the 1,500 grounded-prompts/day allowance, but Gemini token charges still apply. The download agent’s Vertex Lambda and browser/runtime costs remain infrastructure, not model spend. PageIndex token usage is estimated because the referenced PageIndex library is not present in this workspace; replace the per-report token assumptions with CloudWatch/Bedrock usage telemetry after a representative run. A dedicated PageIndex EC2 orchestrator is excluded because the supplied Terraform neither provisions nor sizes it.</x:v>
      </x:c>
      <x:c r="H34" s="317" t="str">
        <x:v>Interpretation: PageIndex and the answering ReAct loop are the dominant model-cost drivers. Vertex Google Search grounding is $0 in the base case because the workload is far below the 1,500 grounded-prompts/day allowance, but Gemini token charges still apply. The download agent’s Vertex Lambda and browser/runtime costs remain infrastructure, not model spend. PageIndex token usage is estimated because the referenced PageIndex library is not present in this workspace; replace the per-report token assumptions with CloudWatch/Bedrock usage telemetry after a representative run. A dedicated PageIndex EC2 orchestrator is excluded because the supplied Terraform neither provisions nor sizes it.</x:v>
      </x:c>
      <x:c r="I34" s="318" t="str">
        <x:v>Interpretation: PageIndex and the answering ReAct loop are the dominant model-cost drivers. Vertex Google Search grounding is $0 in the base case because the workload is far below the 1,500 grounded-prompts/day allowance, but Gemini token charges still apply. The download agent’s Vertex Lambda and browser/runtime costs remain infrastructure, not model spend. PageIndex token usage is estimated because the referenced PageIndex library is not present in this workspace; replace the per-report token assumptions with CloudWatch/Bedrock usage telemetry after a representative run. A dedicated PageIndex EC2 orchestrator is excluded because the supplied Terraform neither provisions nor sizes it.</x:v>
      </x:c>
    </x:row>
  </x:sheetData>
  <x:mergeCells>
    <x:mergeCell ref="A1:I1"/>
    <x:mergeCell ref="A2:I2"/>
    <x:mergeCell ref="A4:B4"/>
    <x:mergeCell ref="C4:D4"/>
    <x:mergeCell ref="E4:F4"/>
    <x:mergeCell ref="G4:I4"/>
    <x:mergeCell ref="A5:B6"/>
    <x:mergeCell ref="C5:D6"/>
    <x:mergeCell ref="E5:F6"/>
    <x:mergeCell ref="G5:I6"/>
    <x:mergeCell ref="A13:F13"/>
    <x:mergeCell ref="A21:C21"/>
    <x:mergeCell ref="A30:I34"/>
  </x:mergeCells>
  <x:pageMargins left="0.7" right="0.7" top="0.75" bottom="0.75" header="0.3" footer="0.3"/>
  <x:drawing xmlns:r="http://schemas.openxmlformats.org/officeDocument/2006/relationships" r:id="Ra3b36aeb6c174c90"/>
</x:worksheet>
</file>

<file path=xl/worksheets/sheet2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6" hidden="0" customWidth="1"/>
    <x:col min="3" max="3" width="18" hidden="0" customWidth="1"/>
    <x:col min="4" max="4" width="54" hidden="0" customWidth="1"/>
    <x:col min="5" max="5" width="16" hidden="0" customWidth="1"/>
    <x:col min="6" max="6" width="14" hidden="0" customWidth="1"/>
    <x:col min="7" max="7" width="17" hidden="0" customWidth="1"/>
    <x:col min="8" max="8" width="17" hidden="0" customWidth="1"/>
    <x:col min="9" max="9" width="19" hidden="0" customWidth="1"/>
    <x:col min="10" max="10" width="20" hidden="0" customWidth="1"/>
    <x:col min="11" max="11" width="15" hidden="0" customWidth="1"/>
  </x:cols>
  <x:sheetData>
    <x:row r="1" ht="34" customHeight="1">
      <x:c r="A1" s="70" t="str">
        <x:v>Agent Cost Analysis — Editable Assumptions</x:v>
      </x:c>
      <x:c r="B1" s="70" t="str">
        <x:v>Agent Cost Analysis — Editable Assumptions</x:v>
      </x:c>
      <x:c r="C1" s="70" t="str">
        <x:v>Agent Cost Analysis — Editable Assumptions</x:v>
      </x:c>
      <x:c r="D1" s="70" t="str">
        <x:v>Agent Cost Analysis — Editable Assumptions</x:v>
      </x:c>
      <x:c r="E1" s="70" t="str">
        <x:v>Agent Cost Analysis — Editable Assumptions</x:v>
      </x:c>
      <x:c r="F1" s="70" t="str">
        <x:v>Agent Cost Analysis — Editable Assumptions</x:v>
      </x:c>
      <x:c r="G1" s="70" t="str">
        <x:v>Agent Cost Analysis — Editable Assumptions</x:v>
      </x:c>
      <x:c r="H1" s="70" t="str">
        <x:v>Agent Cost Analysis — Editable Assumptions</x:v>
      </x:c>
      <x:c r="I1" s="70" t="str">
        <x:v>Agent Cost Analysis — Editable Assumptions</x:v>
      </x:c>
      <x:c r="J1" s="70" t="str">
        <x:v>Agent Cost Analysis — Editable Assumptions</x:v>
      </x:c>
      <x:c r="K1" s="70" t="str">
        <x:v>Agent Cost Analysis — Editable Assumptions</x:v>
      </x:c>
    </x:row>
    <x:row r="2" ht="30" customHeight="1">
      <x:c r="A2" s="41" t="str">
        <x:v>Blue-font values are user-editable. Formula cells are black; cross-sheet links are green. USD, gross published rates, no free-tier credits.</x:v>
      </x:c>
      <x:c r="B2" s="41" t="str">
        <x:v>Blue-font values are user-editable. Formula cells are black; cross-sheet links are green. USD, gross published rates, no free-tier credits.</x:v>
      </x:c>
      <x:c r="C2" s="41" t="str">
        <x:v>Blue-font values are user-editable. Formula cells are black; cross-sheet links are green. USD, gross published rates, no free-tier credits.</x:v>
      </x:c>
      <x:c r="D2" s="41" t="str">
        <x:v>Blue-font values are user-editable. Formula cells are black; cross-sheet links are green. USD, gross published rates, no free-tier credits.</x:v>
      </x:c>
      <x:c r="E2" s="41" t="str">
        <x:v>Blue-font values are user-editable. Formula cells are black; cross-sheet links are green. USD, gross published rates, no free-tier credits.</x:v>
      </x:c>
      <x:c r="F2" s="41" t="str">
        <x:v>Blue-font values are user-editable. Formula cells are black; cross-sheet links are green. USD, gross published rates, no free-tier credits.</x:v>
      </x:c>
      <x:c r="G2" s="41" t="str">
        <x:v>Blue-font values are user-editable. Formula cells are black; cross-sheet links are green. USD, gross published rates, no free-tier credits.</x:v>
      </x:c>
      <x:c r="H2" s="41" t="str">
        <x:v>Blue-font values are user-editable. Formula cells are black; cross-sheet links are green. USD, gross published rates, no free-tier credits.</x:v>
      </x:c>
      <x:c r="I2" s="41" t="str">
        <x:v>Blue-font values are user-editable. Formula cells are black; cross-sheet links are green. USD, gross published rates, no free-tier credits.</x:v>
      </x:c>
      <x:c r="J2" s="41" t="str">
        <x:v>Blue-font values are user-editable. Formula cells are black; cross-sheet links are green. USD, gross published rates, no free-tier credits.</x:v>
      </x:c>
      <x:c r="K2" s="41" t="str">
        <x:v>Blue-font values are user-editable. Formula cells are black; cross-sheet links are green. USD, gross published rates, no free-tier credits.</x:v>
      </x:c>
    </x:row>
    <x:row r="3">
      <x:c r="A3" s="71"/>
      <x:c r="B3" s="71"/>
      <x:c r="C3" s="71"/>
      <x:c r="D3" s="71"/>
      <x:c r="E3" s="71"/>
      <x:c r="F3" s="71"/>
      <x:c r="G3" s="71"/>
      <x:c r="H3" s="71"/>
      <x:c r="I3" s="71"/>
      <x:c r="J3" s="71"/>
      <x:c r="K3" s="71"/>
    </x:row>
    <x:row r="4" ht="22" customHeight="1">
      <x:c r="A4" s="72" t="str">
        <x:v>Average-case monthly workload</x:v>
      </x:c>
      <x:c r="B4" s="72" t="str">
        <x:v>Average-case monthly workload</x:v>
      </x:c>
      <x:c r="C4" s="72" t="str">
        <x:v>Average-case monthly workload</x:v>
      </x:c>
      <x:c r="D4" s="72" t="str">
        <x:v>Average-case monthly workload</x:v>
      </x:c>
      <x:c r="E4" s="71"/>
      <x:c r="F4" s="71"/>
      <x:c r="G4" s="71"/>
      <x:c r="H4" s="71"/>
      <x:c r="I4" s="71"/>
      <x:c r="J4" s="71"/>
      <x:c r="K4" s="71"/>
    </x:row>
    <x:row r="5">
      <x:c r="A5" s="44" t="str">
        <x:v>Driver</x:v>
      </x:c>
      <x:c r="B5" s="44" t="str">
        <x:v>Base value</x:v>
      </x:c>
      <x:c r="C5" s="44" t="str">
        <x:v>Unit</x:v>
      </x:c>
      <x:c r="D5" s="44" t="str">
        <x:v>Basis / note</x:v>
      </x:c>
      <x:c r="E5" s="71"/>
      <x:c r="F5" s="71"/>
      <x:c r="G5" s="71"/>
      <x:c r="H5" s="71"/>
      <x:c r="I5" s="71"/>
      <x:c r="J5" s="71"/>
      <x:c r="K5" s="71"/>
    </x:row>
    <x:row r="6">
      <x:c r="A6" s="73" t="str">
        <x:v>Analysis as of</x:v>
      </x:c>
      <x:c r="B6" s="74" t="n">
        <x:v>46231</x:v>
      </x:c>
      <x:c r="C6" s="73" t="str">
        <x:v>date</x:v>
      </x:c>
      <x:c r="D6" s="73" t="str">
        <x:v>Pricing and code review date</x:v>
      </x:c>
      <x:c r="E6" s="71"/>
      <x:c r="F6" s="71"/>
      <x:c r="G6" s="71"/>
      <x:c r="H6" s="71"/>
      <x:c r="I6" s="71"/>
      <x:c r="J6" s="71"/>
      <x:c r="K6" s="71"/>
    </x:row>
    <x:row r="7">
      <x:c r="A7" s="73" t="str">
        <x:v>Billing days per month</x:v>
      </x:c>
      <x:c r="B7" s="75" t="n">
        <x:v>30</x:v>
      </x:c>
      <x:c r="C7" s="73" t="str">
        <x:v>days</x:v>
      </x:c>
      <x:c r="D7" s="73" t="str">
        <x:v>Used for daily Vertex grounding allowance</x:v>
      </x:c>
      <x:c r="E7" s="71"/>
      <x:c r="F7" s="71"/>
      <x:c r="G7" s="71"/>
      <x:c r="H7" s="71"/>
      <x:c r="I7" s="71"/>
      <x:c r="J7" s="71"/>
      <x:c r="K7" s="71"/>
    </x:row>
    <x:row r="8">
      <x:c r="A8" s="73" t="str">
        <x:v>Companies processed</x:v>
      </x:c>
      <x:c r="B8" s="75" t="n">
        <x:v>20</x:v>
      </x:c>
      <x:c r="C8" s="73" t="str">
        <x:v>companies/month</x:v>
      </x:c>
      <x:c r="D8" s="73" t="str">
        <x:v>Average-case planning assumption</x:v>
      </x:c>
      <x:c r="E8" s="71"/>
      <x:c r="F8" s="71"/>
      <x:c r="G8" s="71"/>
      <x:c r="H8" s="71"/>
      <x:c r="I8" s="71"/>
      <x:c r="J8" s="71"/>
      <x:c r="K8" s="71"/>
    </x:row>
    <x:row r="9">
      <x:c r="A9" s="73" t="str">
        <x:v>Reports per company</x:v>
      </x:c>
      <x:c r="B9" s="75" t="n">
        <x:v>12</x:v>
      </x:c>
      <x:c r="C9" s="73" t="str">
        <x:v>reports/company</x:v>
      </x:c>
      <x:c r="D9" s="73" t="str">
        <x:v>Download and PageIndex volume</x:v>
      </x:c>
      <x:c r="E9" s="71"/>
      <x:c r="F9" s="71"/>
      <x:c r="G9" s="71"/>
      <x:c r="H9" s="71"/>
      <x:c r="I9" s="71"/>
      <x:c r="J9" s="71"/>
      <x:c r="K9" s="71"/>
    </x:row>
    <x:row r="10">
      <x:c r="A10" s="73" t="str">
        <x:v>Reports processed</x:v>
      </x:c>
      <x:c r="B10" s="76" t="n">
        <x:f>B8*B9</x:f>
        <x:v>240</x:v>
      </x:c>
      <x:c r="C10" s="73" t="str">
        <x:v>reports/month</x:v>
      </x:c>
      <x:c r="D10" s="73" t="str">
        <x:v>Companies × reports/company</x:v>
      </x:c>
      <x:c r="E10" s="71"/>
      <x:c r="F10" s="71"/>
      <x:c r="G10" s="71"/>
      <x:c r="H10" s="71"/>
      <x:c r="I10" s="71"/>
      <x:c r="J10" s="71"/>
      <x:c r="K10" s="71"/>
    </x:row>
    <x:row r="11">
      <x:c r="A11" s="73" t="str">
        <x:v>Questions per company</x:v>
      </x:c>
      <x:c r="B11" s="77" t="n">
        <x:v>50</x:v>
      </x:c>
      <x:c r="C11" s="73" t="str">
        <x:v>questions/company</x:v>
      </x:c>
      <x:c r="D11" s="73" t="str">
        <x:v>Question blocks answered by the ReAct loop</x:v>
      </x:c>
      <x:c r="E11" s="71"/>
      <x:c r="F11" s="71"/>
      <x:c r="G11" s="71"/>
      <x:c r="H11" s="71"/>
      <x:c r="I11" s="71"/>
      <x:c r="J11" s="71"/>
      <x:c r="K11" s="71"/>
    </x:row>
    <x:row r="12">
      <x:c r="A12" s="73" t="str">
        <x:v>Questions answered</x:v>
      </x:c>
      <x:c r="B12" s="76" t="n">
        <x:f>B8*B11</x:f>
        <x:v>1000</x:v>
      </x:c>
      <x:c r="C12" s="73" t="str">
        <x:v>questions/month</x:v>
      </x:c>
      <x:c r="D12" s="73" t="str">
        <x:v>Companies × questions/company</x:v>
      </x:c>
      <x:c r="E12" s="71"/>
      <x:c r="F12" s="71"/>
      <x:c r="G12" s="71"/>
      <x:c r="H12" s="71"/>
      <x:c r="I12" s="71"/>
      <x:c r="J12" s="71"/>
      <x:c r="K12" s="71"/>
    </x:row>
    <x:row r="13">
      <x:c r="A13" s="73" t="str">
        <x:v>Average PDF pages</x:v>
      </x:c>
      <x:c r="B13" s="77" t="n">
        <x:v>150</x:v>
      </x:c>
      <x:c r="C13" s="73" t="str">
        <x:v>pages/report</x:v>
      </x:c>
      <x:c r="D13" s="73" t="str">
        <x:v>Drives PageIndex token estimate</x:v>
      </x:c>
      <x:c r="E13" s="71"/>
      <x:c r="F13" s="71"/>
      <x:c r="G13" s="71"/>
      <x:c r="H13" s="71"/>
      <x:c r="I13" s="71"/>
      <x:c r="J13" s="71"/>
      <x:c r="K13" s="71"/>
    </x:row>
    <x:row r="14">
      <x:c r="A14" s="73" t="str">
        <x:v>Average PDF size</x:v>
      </x:c>
      <x:c r="B14" s="77" t="n">
        <x:v>10</x:v>
      </x:c>
      <x:c r="C14" s="73" t="str">
        <x:v>MB/report</x:v>
      </x:c>
      <x:c r="D14" s="73" t="str">
        <x:v>Drives incremental S3 storage</x:v>
      </x:c>
      <x:c r="E14" s="71"/>
      <x:c r="F14" s="71"/>
      <x:c r="G14" s="71"/>
      <x:c r="H14" s="71"/>
      <x:c r="I14" s="71"/>
      <x:c r="J14" s="71"/>
      <x:c r="K14" s="71"/>
    </x:row>
    <x:row r="15">
      <x:c r="A15" s="73" t="str">
        <x:v>Existing retained PDFs + indexes</x:v>
      </x:c>
      <x:c r="B15" s="77" t="n">
        <x:v>50</x:v>
      </x:c>
      <x:c r="C15" s="73" t="str">
        <x:v>GB</x:v>
      </x:c>
      <x:c r="D15" s="73" t="str">
        <x:v>Opening S3 footprint before this month</x:v>
      </x:c>
      <x:c r="E15" s="71"/>
      <x:c r="F15" s="71"/>
      <x:c r="G15" s="71"/>
      <x:c r="H15" s="71"/>
      <x:c r="I15" s="71"/>
      <x:c r="J15" s="71"/>
      <x:c r="K15" s="71"/>
    </x:row>
    <x:row r="16">
      <x:c r="A16" s="73" t="str">
        <x:v>S3 versioning multiplier</x:v>
      </x:c>
      <x:c r="B16" s="77" t="n">
        <x:v>1.1</x:v>
      </x:c>
      <x:c r="C16" s="73" t="str">
        <x:v>x</x:v>
      </x:c>
      <x:c r="D16" s="73" t="str">
        <x:v>Allows 10% overhead for prior object versions</x:v>
      </x:c>
      <x:c r="E16" s="71"/>
      <x:c r="F16" s="71"/>
      <x:c r="G16" s="71"/>
      <x:c r="H16" s="71"/>
      <x:c r="I16" s="71"/>
      <x:c r="J16" s="71"/>
      <x:c r="K16" s="71"/>
    </x:row>
    <x:row r="17">
      <x:c r="A17" s="73" t="str">
        <x:v>Total private ECR image storage</x:v>
      </x:c>
      <x:c r="B17" s="77" t="n">
        <x:v>3</x:v>
      </x:c>
      <x:c r="C17" s="73" t="str">
        <x:v>GB</x:v>
      </x:c>
      <x:c r="D17" s="73" t="str">
        <x:v>Four runtime/Lambda repositories combined</x:v>
      </x:c>
      <x:c r="E17" s="71"/>
      <x:c r="F17" s="71"/>
      <x:c r="G17" s="71"/>
      <x:c r="H17" s="71"/>
      <x:c r="I17" s="71"/>
      <x:c r="J17" s="71"/>
      <x:c r="K17" s="71"/>
    </x:row>
    <x:row r="18">
      <x:c r="A18" s="78" t="str">
        <x:v>Existing DynamoDB table size</x:v>
      </x:c>
      <x:c r="B18" s="79" t="n">
        <x:v>0.1</x:v>
      </x:c>
      <x:c r="C18" s="78" t="str">
        <x:v>GB</x:v>
      </x:c>
      <x:c r="D18" s="78" t="str">
        <x:v>Provenance table including item overhead</x:v>
      </x:c>
      <x:c r="E18" s="71"/>
      <x:c r="F18" s="71"/>
      <x:c r="G18" s="71"/>
      <x:c r="H18" s="71"/>
      <x:c r="I18" s="71"/>
      <x:c r="J18" s="71"/>
      <x:c r="K18" s="71"/>
    </x:row>
    <x:row r="19">
      <x:c r="A19" s="71"/>
      <x:c r="B19" s="71"/>
      <x:c r="C19" s="71"/>
      <x:c r="D19" s="71"/>
      <x:c r="E19" s="71"/>
      <x:c r="F19" s="71"/>
      <x:c r="G19" s="71"/>
      <x:c r="H19" s="71"/>
      <x:c r="I19" s="71"/>
      <x:c r="J19" s="71"/>
      <x:c r="K19" s="71"/>
    </x:row>
    <x:row r="20">
      <x:c r="A20" s="71"/>
      <x:c r="B20" s="71"/>
      <x:c r="C20" s="71"/>
      <x:c r="D20" s="71"/>
      <x:c r="E20" s="71"/>
      <x:c r="F20" s="71"/>
      <x:c r="G20" s="71"/>
      <x:c r="H20" s="71"/>
      <x:c r="I20" s="71"/>
      <x:c r="J20" s="71"/>
      <x:c r="K20" s="71"/>
    </x:row>
    <x:row r="21" ht="22" customHeight="1">
      <x:c r="A21" s="72" t="str">
        <x:v>Model usage assumptions by workload</x:v>
      </x:c>
      <x:c r="B21" s="72" t="str">
        <x:v>Model usage assumptions by workload</x:v>
      </x:c>
      <x:c r="C21" s="72" t="str">
        <x:v>Model usage assumptions by workload</x:v>
      </x:c>
      <x:c r="D21" s="72" t="str">
        <x:v>Model usage assumptions by workload</x:v>
      </x:c>
      <x:c r="E21" s="72" t="str">
        <x:v>Model usage assumptions by workload</x:v>
      </x:c>
      <x:c r="F21" s="72" t="str">
        <x:v>Model usage assumptions by workload</x:v>
      </x:c>
      <x:c r="G21" s="72" t="str">
        <x:v>Model usage assumptions by workload</x:v>
      </x:c>
      <x:c r="H21" s="72" t="str">
        <x:v>Model usage assumptions by workload</x:v>
      </x:c>
      <x:c r="I21" s="72" t="str">
        <x:v>Model usage assumptions by workload</x:v>
      </x:c>
      <x:c r="J21" s="72" t="str">
        <x:v>Model usage assumptions by workload</x:v>
      </x:c>
      <x:c r="K21" s="72" t="str">
        <x:v>Model usage assumptions by workload</x:v>
      </x:c>
    </x:row>
    <x:row r="22">
      <x:c r="A22" s="44" t="str">
        <x:v>Agent</x:v>
      </x:c>
      <x:c r="B22" s="44" t="str">
        <x:v>Workload</x:v>
      </x:c>
      <x:c r="C22" s="44" t="str">
        <x:v>Model / service</x:v>
      </x:c>
      <x:c r="D22" s="44" t="str">
        <x:v>Driver</x:v>
      </x:c>
      <x:c r="E22" s="44" t="str">
        <x:v>Units / month</x:v>
      </x:c>
      <x:c r="F22" s="44" t="str">
        <x:v>Calls / unit</x:v>
      </x:c>
      <x:c r="G22" s="44" t="str">
        <x:v>Input tokens / call</x:v>
      </x:c>
      <x:c r="H22" s="44" t="str">
        <x:v>Output tokens / call</x:v>
      </x:c>
      <x:c r="I22" s="44" t="str">
        <x:v>Monthly input tokens</x:v>
      </x:c>
      <x:c r="J22" s="44" t="str">
        <x:v>Monthly output tokens</x:v>
      </x:c>
      <x:c r="K22" s="44" t="str">
        <x:v>Monthly calls</x:v>
      </x:c>
    </x:row>
    <x:row r="23">
      <x:c r="A23" s="73" t="str">
        <x:v>Download Agent</x:v>
      </x:c>
      <x:c r="B23" s="73" t="str">
        <x:v>Query prep, class match, query generation</x:v>
      </x:c>
      <x:c r="C23" s="73" t="str">
        <x:v>Claude Sonnet 5</x:v>
      </x:c>
      <x:c r="D23" s="73" t="str">
        <x:v>report</x:v>
      </x:c>
      <x:c r="E23" s="80" t="n">
        <x:f>$B$10</x:f>
        <x:v>240</x:v>
      </x:c>
      <x:c r="F23" s="75" t="n">
        <x:v>3</x:v>
      </x:c>
      <x:c r="G23" s="75" t="n">
        <x:v>2000</x:v>
      </x:c>
      <x:c r="H23" s="75" t="n">
        <x:v>250</x:v>
      </x:c>
      <x:c r="I23" s="80" t="n">
        <x:f>E23*F23*G23</x:f>
        <x:v>1440000</x:v>
      </x:c>
      <x:c r="J23" s="80" t="n">
        <x:f>E23*F23*H23</x:f>
        <x:v>180000</x:v>
      </x:c>
      <x:c r="K23" s="80" t="n">
        <x:f>E23*F23</x:f>
        <x:v>720</x:v>
      </x:c>
    </x:row>
    <x:row r="24">
      <x:c r="A24" s="73" t="str">
        <x:v>Download Agent</x:v>
      </x:c>
      <x:c r="B24" s="73" t="str">
        <x:v>Candidate verification / selection</x:v>
      </x:c>
      <x:c r="C24" s="73" t="str">
        <x:v>Claude Sonnet 5</x:v>
      </x:c>
      <x:c r="D24" s="73" t="str">
        <x:v>report</x:v>
      </x:c>
      <x:c r="E24" s="80" t="n">
        <x:f>$B$10</x:f>
        <x:v>240</x:v>
      </x:c>
      <x:c r="F24" s="75" t="n">
        <x:v>4</x:v>
      </x:c>
      <x:c r="G24" s="75" t="n">
        <x:v>5000</x:v>
      </x:c>
      <x:c r="H24" s="75" t="n">
        <x:v>150</x:v>
      </x:c>
      <x:c r="I24" s="80" t="n">
        <x:f>E24*F24*G24</x:f>
        <x:v>4800000</x:v>
      </x:c>
      <x:c r="J24" s="80" t="n">
        <x:f>E24*F24*H24</x:f>
        <x:v>144000</x:v>
      </x:c>
      <x:c r="K24" s="80" t="n">
        <x:f>E24*F24</x:f>
        <x:v>960</x:v>
      </x:c>
    </x:row>
    <x:row r="25">
      <x:c r="A25" s="73" t="str">
        <x:v>Download Agent</x:v>
      </x:c>
      <x:c r="B25" s="73" t="str">
        <x:v>Grounded document discovery</x:v>
      </x:c>
      <x:c r="C25" s="73" t="str">
        <x:v>Gemini 2.5 Flash (thinking)</x:v>
      </x:c>
      <x:c r="D25" s="73" t="str">
        <x:v>report</x:v>
      </x:c>
      <x:c r="E25" s="80" t="n">
        <x:f>$B$10</x:f>
        <x:v>240</x:v>
      </x:c>
      <x:c r="F25" s="75" t="n">
        <x:v>6</x:v>
      </x:c>
      <x:c r="G25" s="75" t="n">
        <x:v>800</x:v>
      </x:c>
      <x:c r="H25" s="75" t="n">
        <x:v>350</x:v>
      </x:c>
      <x:c r="I25" s="80" t="n">
        <x:f>E25*F25*G25</x:f>
        <x:v>1152000</x:v>
      </x:c>
      <x:c r="J25" s="80" t="n">
        <x:f>E25*F25*H25</x:f>
        <x:v>504000</x:v>
      </x:c>
      <x:c r="K25" s="80" t="n">
        <x:f>E25*F25</x:f>
        <x:v>1440</x:v>
      </x:c>
    </x:row>
    <x:row r="26">
      <x:c r="A26" s="73" t="str">
        <x:v>Download Agent</x:v>
      </x:c>
      <x:c r="B26" s="73" t="str">
        <x:v>Company identity hint</x:v>
      </x:c>
      <x:c r="C26" s="73" t="str">
        <x:v>Gemini 2.5 Flash (thinking)</x:v>
      </x:c>
      <x:c r="D26" s="73" t="str">
        <x:v>company</x:v>
      </x:c>
      <x:c r="E26" s="80" t="n">
        <x:f>$B$8</x:f>
        <x:v>20</x:v>
      </x:c>
      <x:c r="F26" s="75" t="n">
        <x:v>1</x:v>
      </x:c>
      <x:c r="G26" s="75" t="n">
        <x:v>600</x:v>
      </x:c>
      <x:c r="H26" s="75" t="n">
        <x:v>350</x:v>
      </x:c>
      <x:c r="I26" s="80" t="n">
        <x:f>E26*F26*G26</x:f>
        <x:v>12000</x:v>
      </x:c>
      <x:c r="J26" s="80" t="n">
        <x:f>E26*F26*H26</x:f>
        <x:v>7000</x:v>
      </x:c>
      <x:c r="K26" s="80" t="n">
        <x:f>E26*F26</x:f>
        <x:v>20</x:v>
      </x:c>
    </x:row>
    <x:row r="27">
      <x:c r="A27" s="73" t="str">
        <x:v>Download Agent</x:v>
      </x:c>
      <x:c r="B27" s="73" t="str">
        <x:v>Browser-vision fallback</x:v>
      </x:c>
      <x:c r="C27" s="73" t="str">
        <x:v>Amazon Nova 2 Lite</x:v>
      </x:c>
      <x:c r="D27" s="73" t="str">
        <x:v>report</x:v>
      </x:c>
      <x:c r="E27" s="80" t="n">
        <x:f>$B$10</x:f>
        <x:v>240</x:v>
      </x:c>
      <x:c r="F27" s="75" t="n">
        <x:v>0.05</x:v>
      </x:c>
      <x:c r="G27" s="75" t="n">
        <x:v>730</x:v>
      </x:c>
      <x:c r="H27" s="75" t="n">
        <x:v>100</x:v>
      </x:c>
      <x:c r="I27" s="80" t="n">
        <x:f>E27*F27*G27</x:f>
        <x:v>8760</x:v>
      </x:c>
      <x:c r="J27" s="80" t="n">
        <x:f>E27*F27*H27</x:f>
        <x:v>1200</x:v>
      </x:c>
      <x:c r="K27" s="80" t="n">
        <x:f>E27*F27</x:f>
        <x:v>12</x:v>
      </x:c>
    </x:row>
    <x:row r="28">
      <x:c r="A28" s="73" t="str">
        <x:v>PageIndex Agent</x:v>
      </x:c>
      <x:c r="B28" s="73" t="str">
        <x:v>Hierarchical tree indexing</x:v>
      </x:c>
      <x:c r="C28" s="73" t="str">
        <x:v>Claude Sonnet 4.5</x:v>
      </x:c>
      <x:c r="D28" s="73" t="str">
        <x:v>report</x:v>
      </x:c>
      <x:c r="E28" s="80" t="n">
        <x:f>$B$10</x:f>
        <x:v>240</x:v>
      </x:c>
      <x:c r="F28" s="75" t="n">
        <x:v>1</x:v>
      </x:c>
      <x:c r="G28" s="81" t="n">
        <x:f>25000+$B$13*900</x:f>
        <x:v>160000</x:v>
      </x:c>
      <x:c r="H28" s="81" t="n">
        <x:f>2000+$B$13*90</x:f>
        <x:v>15500</x:v>
      </x:c>
      <x:c r="I28" s="80" t="n">
        <x:f>E28*F28*G28</x:f>
        <x:v>38400000</x:v>
      </x:c>
      <x:c r="J28" s="80" t="n">
        <x:f>E28*F28*H28</x:f>
        <x:v>3720000</x:v>
      </x:c>
      <x:c r="K28" s="80" t="n">
        <x:f>E28*F28</x:f>
        <x:v>240</x:v>
      </x:c>
    </x:row>
    <x:row r="29">
      <x:c r="A29" s="78" t="str">
        <x:v>Answering Agent</x:v>
      </x:c>
      <x:c r="B29" s="78" t="str">
        <x:v>ReAct tool loop</x:v>
      </x:c>
      <x:c r="C29" s="78" t="str">
        <x:v>Claude Sonnet 5</x:v>
      </x:c>
      <x:c r="D29" s="78" t="str">
        <x:v>question</x:v>
      </x:c>
      <x:c r="E29" s="82" t="n">
        <x:f>$B$12</x:f>
        <x:v>1000</x:v>
      </x:c>
      <x:c r="F29" s="83" t="n">
        <x:v>6</x:v>
      </x:c>
      <x:c r="G29" s="83" t="n">
        <x:v>12000</x:v>
      </x:c>
      <x:c r="H29" s="83" t="n">
        <x:v>700</x:v>
      </x:c>
      <x:c r="I29" s="82" t="n">
        <x:f>E29*F29*G29</x:f>
        <x:v>72000000</x:v>
      </x:c>
      <x:c r="J29" s="82" t="n">
        <x:f>E29*F29*H29</x:f>
        <x:v>4200000</x:v>
      </x:c>
      <x:c r="K29" s="82" t="n">
        <x:f>E29*F29</x:f>
        <x:v>6000</x:v>
      </x:c>
    </x:row>
    <x:row r="30">
      <x:c r="A30" s="71"/>
      <x:c r="B30" s="71"/>
      <x:c r="C30" s="71"/>
      <x:c r="D30" s="71"/>
      <x:c r="E30" s="71"/>
      <x:c r="F30" s="71"/>
      <x:c r="G30" s="71"/>
      <x:c r="H30" s="71"/>
      <x:c r="I30" s="71"/>
      <x:c r="J30" s="71"/>
      <x:c r="K30" s="71"/>
    </x:row>
    <x:row r="31">
      <x:c r="A31" s="71"/>
      <x:c r="B31" s="71"/>
      <x:c r="C31" s="71"/>
      <x:c r="D31" s="71"/>
      <x:c r="E31" s="71"/>
      <x:c r="F31" s="71"/>
      <x:c r="G31" s="71"/>
      <x:c r="H31" s="71"/>
      <x:c r="I31" s="71"/>
      <x:c r="J31" s="71"/>
      <x:c r="K31" s="71"/>
    </x:row>
    <x:row r="32" ht="22" customHeight="1">
      <x:c r="A32" s="72" t="str">
        <x:v>Infrastructure consumption assumptions</x:v>
      </x:c>
      <x:c r="B32" s="72" t="str">
        <x:v>Infrastructure consumption assumptions</x:v>
      </x:c>
      <x:c r="C32" s="72" t="str">
        <x:v>Infrastructure consumption assumptions</x:v>
      </x:c>
      <x:c r="D32" s="72" t="str">
        <x:v>Infrastructure consumption assumptions</x:v>
      </x:c>
      <x:c r="E32" s="71"/>
      <x:c r="F32" s="71"/>
      <x:c r="G32" s="71"/>
      <x:c r="H32" s="71"/>
      <x:c r="I32" s="71"/>
      <x:c r="J32" s="71"/>
      <x:c r="K32" s="71"/>
    </x:row>
    <x:row r="33">
      <x:c r="A33" s="44" t="str">
        <x:v>Driver</x:v>
      </x:c>
      <x:c r="B33" s="44" t="str">
        <x:v>Base value</x:v>
      </x:c>
      <x:c r="C33" s="44" t="str">
        <x:v>Unit</x:v>
      </x:c>
      <x:c r="D33" s="44" t="str">
        <x:v>Basis / note</x:v>
      </x:c>
      <x:c r="E33" s="71"/>
      <x:c r="F33" s="71"/>
      <x:c r="G33" s="71"/>
      <x:c r="H33" s="71"/>
      <x:c r="I33" s="71"/>
      <x:c r="J33" s="71"/>
      <x:c r="K33" s="71"/>
    </x:row>
    <x:row r="34">
      <x:c r="A34" s="73" t="str">
        <x:v>Download runtime active CPU</x:v>
      </x:c>
      <x:c r="B34" s="77" t="n">
        <x:v>180</x:v>
      </x:c>
      <x:c r="C34" s="73" t="str">
        <x:v>seconds/report</x:v>
      </x:c>
      <x:c r="D34" s="73" t="str">
        <x:v>CPU-active time; I/O waits do not accrue CPU</x:v>
      </x:c>
      <x:c r="E34" s="71"/>
      <x:c r="F34" s="71"/>
      <x:c r="G34" s="71"/>
      <x:c r="H34" s="71"/>
      <x:c r="I34" s="71"/>
      <x:c r="J34" s="71"/>
      <x:c r="K34" s="71"/>
    </x:row>
    <x:row r="35">
      <x:c r="A35" s="73" t="str">
        <x:v>Download runtime memory duration</x:v>
      </x:c>
      <x:c r="B35" s="77" t="n">
        <x:v>480</x:v>
      </x:c>
      <x:c r="C35" s="73" t="str">
        <x:v>seconds/report</x:v>
      </x:c>
      <x:c r="D35" s="73" t="str">
        <x:v>Average session memory duration</x:v>
      </x:c>
      <x:c r="E35" s="71"/>
      <x:c r="F35" s="71"/>
      <x:c r="G35" s="71"/>
      <x:c r="H35" s="71"/>
      <x:c r="I35" s="71"/>
      <x:c r="J35" s="71"/>
      <x:c r="K35" s="71"/>
    </x:row>
    <x:row r="36">
      <x:c r="A36" s="73" t="str">
        <x:v>Download runtime memory</x:v>
      </x:c>
      <x:c r="B36" s="77" t="n">
        <x:v>1.5</x:v>
      </x:c>
      <x:c r="C36" s="73" t="str">
        <x:v>GB</x:v>
      </x:c>
      <x:c r="D36" s="73" t="str">
        <x:v>Average working set</x:v>
      </x:c>
      <x:c r="E36" s="71"/>
      <x:c r="F36" s="71"/>
      <x:c r="G36" s="71"/>
      <x:c r="H36" s="71"/>
      <x:c r="I36" s="71"/>
      <x:c r="J36" s="71"/>
      <x:c r="K36" s="71"/>
    </x:row>
    <x:row r="37">
      <x:c r="A37" s="73" t="str">
        <x:v>Browser fallback rate</x:v>
      </x:c>
      <x:c r="B37" s="84" t="n">
        <x:v>0.3</x:v>
      </x:c>
      <x:c r="C37" s="73" t="str">
        <x:v>% of reports</x:v>
      </x:c>
      <x:c r="D37" s="73" t="str">
        <x:v>AgentCore Browser is a downstream fallback</x:v>
      </x:c>
      <x:c r="E37" s="71"/>
      <x:c r="F37" s="71"/>
      <x:c r="G37" s="71"/>
      <x:c r="H37" s="71"/>
      <x:c r="I37" s="71"/>
      <x:c r="J37" s="71"/>
      <x:c r="K37" s="71"/>
    </x:row>
    <x:row r="38">
      <x:c r="A38" s="73" t="str">
        <x:v>Browser active CPU</x:v>
      </x:c>
      <x:c r="B38" s="77" t="n">
        <x:v>60</x:v>
      </x:c>
      <x:c r="C38" s="73" t="str">
        <x:v>seconds/session</x:v>
      </x:c>
      <x:c r="D38" s="73" t="str">
        <x:v>2 vCPU during active work</x:v>
      </x:c>
      <x:c r="E38" s="71"/>
      <x:c r="F38" s="71"/>
      <x:c r="G38" s="71"/>
      <x:c r="H38" s="71"/>
      <x:c r="I38" s="71"/>
      <x:c r="J38" s="71"/>
      <x:c r="K38" s="71"/>
    </x:row>
    <x:row r="39">
      <x:c r="A39" s="73" t="str">
        <x:v>Browser vCPU</x:v>
      </x:c>
      <x:c r="B39" s="77" t="n">
        <x:v>2</x:v>
      </x:c>
      <x:c r="C39" s="73" t="str">
        <x:v>vCPU</x:v>
      </x:c>
      <x:c r="D39" s="73" t="str">
        <x:v>Active browser allocation</x:v>
      </x:c>
      <x:c r="E39" s="71"/>
      <x:c r="F39" s="71"/>
      <x:c r="G39" s="71"/>
      <x:c r="H39" s="71"/>
      <x:c r="I39" s="71"/>
      <x:c r="J39" s="71"/>
      <x:c r="K39" s="71"/>
    </x:row>
    <x:row r="40">
      <x:c r="A40" s="73" t="str">
        <x:v>Browser session duration</x:v>
      </x:c>
      <x:c r="B40" s="77" t="n">
        <x:v>240</x:v>
      </x:c>
      <x:c r="C40" s="73" t="str">
        <x:v>seconds/session</x:v>
      </x:c>
      <x:c r="D40" s="73" t="str">
        <x:v>Memory billed through session duration</x:v>
      </x:c>
      <x:c r="E40" s="71"/>
      <x:c r="F40" s="71"/>
      <x:c r="G40" s="71"/>
      <x:c r="H40" s="71"/>
      <x:c r="I40" s="71"/>
      <x:c r="J40" s="71"/>
      <x:c r="K40" s="71"/>
    </x:row>
    <x:row r="41">
      <x:c r="A41" s="73" t="str">
        <x:v>Browser memory</x:v>
      </x:c>
      <x:c r="B41" s="77" t="n">
        <x:v>4</x:v>
      </x:c>
      <x:c r="C41" s="73" t="str">
        <x:v>GB</x:v>
      </x:c>
      <x:c r="D41" s="73" t="str">
        <x:v>Average browser working set</x:v>
      </x:c>
      <x:c r="E41" s="71"/>
      <x:c r="F41" s="71"/>
      <x:c r="G41" s="71"/>
      <x:c r="H41" s="71"/>
      <x:c r="I41" s="71"/>
      <x:c r="J41" s="71"/>
      <x:c r="K41" s="71"/>
    </x:row>
    <x:row r="42">
      <x:c r="A42" s="73" t="str">
        <x:v>PageIndex runtime active CPU</x:v>
      </x:c>
      <x:c r="B42" s="77" t="n">
        <x:v>300</x:v>
      </x:c>
      <x:c r="C42" s="73" t="str">
        <x:v>seconds/report</x:v>
      </x:c>
      <x:c r="D42" s="73" t="str">
        <x:v>50% active CPU over a 10-minute job</x:v>
      </x:c>
      <x:c r="E42" s="71"/>
      <x:c r="F42" s="71"/>
      <x:c r="G42" s="71"/>
      <x:c r="H42" s="71"/>
      <x:c r="I42" s="71"/>
      <x:c r="J42" s="71"/>
      <x:c r="K42" s="71"/>
    </x:row>
    <x:row r="43">
      <x:c r="A43" s="73" t="str">
        <x:v>PageIndex runtime memory duration</x:v>
      </x:c>
      <x:c r="B43" s="77" t="n">
        <x:v>600</x:v>
      </x:c>
      <x:c r="C43" s="73" t="str">
        <x:v>seconds/report</x:v>
      </x:c>
      <x:c r="D43" s="73" t="str">
        <x:v>Average index job duration</x:v>
      </x:c>
      <x:c r="E43" s="71"/>
      <x:c r="F43" s="71"/>
      <x:c r="G43" s="71"/>
      <x:c r="H43" s="71"/>
      <x:c r="I43" s="71"/>
      <x:c r="J43" s="71"/>
      <x:c r="K43" s="71"/>
    </x:row>
    <x:row r="44">
      <x:c r="A44" s="73" t="str">
        <x:v>PageIndex runtime memory</x:v>
      </x:c>
      <x:c r="B44" s="77" t="n">
        <x:v>2</x:v>
      </x:c>
      <x:c r="C44" s="73" t="str">
        <x:v>GB</x:v>
      </x:c>
      <x:c r="D44" s="73" t="str">
        <x:v>PDF + index construction working set</x:v>
      </x:c>
      <x:c r="E44" s="71"/>
      <x:c r="F44" s="71"/>
      <x:c r="G44" s="71"/>
      <x:c r="H44" s="71"/>
      <x:c r="I44" s="71"/>
      <x:c r="J44" s="71"/>
      <x:c r="K44" s="71"/>
    </x:row>
    <x:row r="45">
      <x:c r="A45" s="73" t="str">
        <x:v>Answer runtime active CPU</x:v>
      </x:c>
      <x:c r="B45" s="77" t="n">
        <x:v>30</x:v>
      </x:c>
      <x:c r="C45" s="73" t="str">
        <x:v>seconds/question</x:v>
      </x:c>
      <x:c r="D45" s="73" t="str">
        <x:v>Excludes Bedrock/tool I/O waits</x:v>
      </x:c>
      <x:c r="E45" s="71"/>
      <x:c r="F45" s="71"/>
      <x:c r="G45" s="71"/>
      <x:c r="H45" s="71"/>
      <x:c r="I45" s="71"/>
      <x:c r="J45" s="71"/>
      <x:c r="K45" s="71"/>
    </x:row>
    <x:row r="46">
      <x:c r="A46" s="73" t="str">
        <x:v>Answer runtime memory duration</x:v>
      </x:c>
      <x:c r="B46" s="77" t="n">
        <x:v>120</x:v>
      </x:c>
      <x:c r="C46" s="73" t="str">
        <x:v>seconds/question</x:v>
      </x:c>
      <x:c r="D46" s="73" t="str">
        <x:v>Average per-question allocation</x:v>
      </x:c>
      <x:c r="E46" s="71"/>
      <x:c r="F46" s="71"/>
      <x:c r="G46" s="71"/>
      <x:c r="H46" s="71"/>
      <x:c r="I46" s="71"/>
      <x:c r="J46" s="71"/>
      <x:c r="K46" s="71"/>
    </x:row>
    <x:row r="47">
      <x:c r="A47" s="73" t="str">
        <x:v>Answer runtime memory</x:v>
      </x:c>
      <x:c r="B47" s="77" t="n">
        <x:v>1</x:v>
      </x:c>
      <x:c r="C47" s="73" t="str">
        <x:v>GB</x:v>
      </x:c>
      <x:c r="D47" s="73" t="str">
        <x:v>Average working set</x:v>
      </x:c>
      <x:c r="E47" s="71"/>
      <x:c r="F47" s="71"/>
      <x:c r="G47" s="71"/>
      <x:c r="H47" s="71"/>
      <x:c r="I47" s="71"/>
      <x:c r="J47" s="71"/>
      <x:c r="K47" s="71"/>
    </x:row>
    <x:row r="48">
      <x:c r="A48" s="73" t="str">
        <x:v>Vertex Lambda duration</x:v>
      </x:c>
      <x:c r="B48" s="77" t="n">
        <x:v>5</x:v>
      </x:c>
      <x:c r="C48" s="73" t="str">
        <x:v>seconds/call</x:v>
      </x:c>
      <x:c r="D48" s="73" t="str">
        <x:v>Includes credential exchange and redirect resolution</x:v>
      </x:c>
      <x:c r="E48" s="71"/>
      <x:c r="F48" s="71"/>
      <x:c r="G48" s="71"/>
      <x:c r="H48" s="71"/>
      <x:c r="I48" s="71"/>
      <x:c r="J48" s="71"/>
      <x:c r="K48" s="71"/>
    </x:row>
    <x:row r="49">
      <x:c r="A49" s="73" t="str">
        <x:v>Vertex Lambda memory</x:v>
      </x:c>
      <x:c r="B49" s="77" t="n">
        <x:v>0.5</x:v>
      </x:c>
      <x:c r="C49" s="73" t="str">
        <x:v>GB</x:v>
      </x:c>
      <x:c r="D49" s="73" t="str">
        <x:v>Configured 512 MB ARM64</x:v>
      </x:c>
      <x:c r="E49" s="71"/>
      <x:c r="F49" s="71"/>
      <x:c r="G49" s="71"/>
      <x:c r="H49" s="71"/>
      <x:c r="I49" s="71"/>
      <x:c r="J49" s="71"/>
      <x:c r="K49" s="71"/>
    </x:row>
    <x:row r="50">
      <x:c r="A50" s="73" t="str">
        <x:v>Vertex-to-AgentCore web-search fallback</x:v>
      </x:c>
      <x:c r="B50" s="84" t="n">
        <x:v>0.05</x:v>
      </x:c>
      <x:c r="C50" s="73" t="str">
        <x:v>% of Vertex calls</x:v>
      </x:c>
      <x:c r="D50" s="73" t="str">
        <x:v>Only when Vertex returns nothing or errors</x:v>
      </x:c>
      <x:c r="E50" s="71"/>
      <x:c r="F50" s="71"/>
      <x:c r="G50" s="71"/>
      <x:c r="H50" s="71"/>
      <x:c r="I50" s="71"/>
      <x:c r="J50" s="71"/>
      <x:c r="K50" s="71"/>
    </x:row>
    <x:row r="51">
      <x:c r="A51" s="73" t="str">
        <x:v>CloudWatch: download agent</x:v>
      </x:c>
      <x:c r="B51" s="77" t="n">
        <x:v>5</x:v>
      </x:c>
      <x:c r="C51" s="73" t="str">
        <x:v>MB/report</x:v>
      </x:c>
      <x:c r="D51" s="73" t="str">
        <x:v>Structured discovery/verification logs</x:v>
      </x:c>
      <x:c r="E51" s="71"/>
      <x:c r="F51" s="71"/>
      <x:c r="G51" s="71"/>
      <x:c r="H51" s="71"/>
      <x:c r="I51" s="71"/>
      <x:c r="J51" s="71"/>
      <x:c r="K51" s="71"/>
    </x:row>
    <x:row r="52">
      <x:c r="A52" s="73" t="str">
        <x:v>CloudWatch: PageIndex</x:v>
      </x:c>
      <x:c r="B52" s="77" t="n">
        <x:v>3</x:v>
      </x:c>
      <x:c r="C52" s="73" t="str">
        <x:v>MB/report</x:v>
      </x:c>
      <x:c r="D52" s="73" t="str">
        <x:v>Index progress and errors</x:v>
      </x:c>
      <x:c r="E52" s="71"/>
      <x:c r="F52" s="71"/>
      <x:c r="G52" s="71"/>
      <x:c r="H52" s="71"/>
      <x:c r="I52" s="71"/>
      <x:c r="J52" s="71"/>
      <x:c r="K52" s="71"/>
    </x:row>
    <x:row r="53">
      <x:c r="A53" s="73" t="str">
        <x:v>CloudWatch: answering</x:v>
      </x:c>
      <x:c r="B53" s="77" t="n">
        <x:v>0.5</x:v>
      </x:c>
      <x:c r="C53" s="73" t="str">
        <x:v>MB/question</x:v>
      </x:c>
      <x:c r="D53" s="73" t="str">
        <x:v>ReAct and validation logs</x:v>
      </x:c>
      <x:c r="E53" s="71"/>
      <x:c r="F53" s="71"/>
      <x:c r="G53" s="71"/>
      <x:c r="H53" s="71"/>
      <x:c r="I53" s="71"/>
      <x:c r="J53" s="71"/>
      <x:c r="K53" s="71"/>
    </x:row>
    <x:row r="54">
      <x:c r="A54" s="73" t="str">
        <x:v>CloudWatch: Vertex Lambda</x:v>
      </x:c>
      <x:c r="B54" s="77" t="n">
        <x:v>0.1</x:v>
      </x:c>
      <x:c r="C54" s="73" t="str">
        <x:v>MB/call</x:v>
      </x:c>
      <x:c r="D54" s="73" t="str">
        <x:v>Lambda and redirect logs</x:v>
      </x:c>
      <x:c r="E54" s="71"/>
      <x:c r="F54" s="71"/>
      <x:c r="G54" s="71"/>
      <x:c r="H54" s="71"/>
      <x:c r="I54" s="71"/>
      <x:c r="J54" s="71"/>
      <x:c r="K54" s="71"/>
    </x:row>
    <x:row r="55">
      <x:c r="A55" s="73" t="str">
        <x:v>Average archived CloudWatch logs</x:v>
      </x:c>
      <x:c r="B55" s="77" t="n">
        <x:v>6</x:v>
      </x:c>
      <x:c r="C55" s="73" t="str">
        <x:v>GB-month</x:v>
      </x:c>
      <x:c r="D55" s="73" t="str">
        <x:v>Retained log footprint across groups</x:v>
      </x:c>
      <x:c r="E55" s="71"/>
      <x:c r="F55" s="71"/>
      <x:c r="G55" s="71"/>
      <x:c r="H55" s="71"/>
      <x:c r="I55" s="71"/>
      <x:c r="J55" s="71"/>
      <x:c r="K55" s="71"/>
    </x:row>
    <x:row r="56">
      <x:c r="A56" s="78" t="str">
        <x:v>AWS data transfer to GCP</x:v>
      </x:c>
      <x:c r="B56" s="79" t="n">
        <x:v>0.1</x:v>
      </x:c>
      <x:c r="C56" s="78" t="str">
        <x:v>GB/month</x:v>
      </x:c>
      <x:c r="D56" s="78" t="str">
        <x:v>Vertex request/response traffic only</x:v>
      </x:c>
      <x:c r="E56" s="71"/>
      <x:c r="F56" s="71"/>
      <x:c r="G56" s="71"/>
      <x:c r="H56" s="71"/>
      <x:c r="I56" s="71"/>
      <x:c r="J56" s="71"/>
      <x:c r="K56" s="71"/>
    </x:row>
  </x:sheetData>
  <x:mergeCells>
    <x:mergeCell ref="A1:K1"/>
    <x:mergeCell ref="A2:K2"/>
    <x:mergeCell ref="A4:D4"/>
    <x:mergeCell ref="A21:K21"/>
    <x:mergeCell ref="A32:D32"/>
  </x:mergeCells>
  <x:pageMargins left="0.7" right="0.7" top="0.75" bottom="0.75" header="0.3" footer="0.3"/>
  <x:legacyDrawing xmlns:r="http://schemas.openxmlformats.org/officeDocument/2006/relationships" r:id="R1948b893d5b240a1"/>
</x:worksheet>
</file>

<file path=xl/worksheets/sheet3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38" hidden="0" customWidth="1"/>
    <x:col min="3" max="3" width="29" hidden="0" customWidth="1"/>
    <x:col min="4" max="4" width="15" hidden="0" customWidth="1"/>
    <x:col min="5" max="5" width="17" hidden="0" customWidth="1"/>
    <x:col min="6" max="6" width="17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5" hidden="0" customWidth="1"/>
    <x:col min="12" max="12" width="15" hidden="0" customWidth="1"/>
    <x:col min="13" max="13" width="17" hidden="0" customWidth="1"/>
  </x:cols>
  <x:sheetData>
    <x:row r="1" ht="34" customHeight="1">
      <x:c r="A1" s="70" t="str">
        <x:v>Monthly Model &amp; Vertex Cost</x:v>
      </x:c>
      <x:c r="B1" s="70" t="str">
        <x:v>Monthly Model &amp; Vertex Cost</x:v>
      </x:c>
      <x:c r="C1" s="70" t="str">
        <x:v>Monthly Model &amp; Vertex Cost</x:v>
      </x:c>
      <x:c r="D1" s="70" t="str">
        <x:v>Monthly Model &amp; Vertex Cost</x:v>
      </x:c>
      <x:c r="E1" s="70" t="str">
        <x:v>Monthly Model &amp; Vertex Cost</x:v>
      </x:c>
      <x:c r="F1" s="70" t="str">
        <x:v>Monthly Model &amp; Vertex Cost</x:v>
      </x:c>
      <x:c r="G1" s="70" t="str">
        <x:v>Monthly Model &amp; Vertex Cost</x:v>
      </x:c>
      <x:c r="H1" s="70" t="str">
        <x:v>Monthly Model &amp; Vertex Cost</x:v>
      </x:c>
      <x:c r="I1" s="70" t="str">
        <x:v>Monthly Model &amp; Vertex Cost</x:v>
      </x:c>
      <x:c r="J1" s="70" t="str">
        <x:v>Monthly Model &amp; Vertex Cost</x:v>
      </x:c>
      <x:c r="K1" s="70" t="str">
        <x:v>Monthly Model &amp; Vertex Cost</x:v>
      </x:c>
      <x:c r="L1" s="70" t="str">
        <x:v>Monthly Model &amp; Vertex Cost</x:v>
      </x:c>
      <x:c r="M1" s="70" t="str">
        <x:v>Monthly Model &amp; Vertex Cost</x:v>
      </x:c>
    </x:row>
    <x:row r="2" ht="30" customHeight="1">
      <x:c r="A2" s="41" t="str">
        <x:v>Current pricing uses Claude Sonnet 5 launch pricing through 2026-08-31. Post-promo shows the recurring $3/$15 token rate.</x:v>
      </x:c>
      <x:c r="B2" s="41" t="str">
        <x:v>Current pricing uses Claude Sonnet 5 launch pricing through 2026-08-31. Post-promo shows the recurring $3/$15 token rate.</x:v>
      </x:c>
      <x:c r="C2" s="41" t="str">
        <x:v>Current pricing uses Claude Sonnet 5 launch pricing through 2026-08-31. Post-promo shows the recurring $3/$15 token rate.</x:v>
      </x:c>
      <x:c r="D2" s="41" t="str">
        <x:v>Current pricing uses Claude Sonnet 5 launch pricing through 2026-08-31. Post-promo shows the recurring $3/$15 token rate.</x:v>
      </x:c>
      <x:c r="E2" s="41" t="str">
        <x:v>Current pricing uses Claude Sonnet 5 launch pricing through 2026-08-31. Post-promo shows the recurring $3/$15 token rate.</x:v>
      </x:c>
      <x:c r="F2" s="41" t="str">
        <x:v>Current pricing uses Claude Sonnet 5 launch pricing through 2026-08-31. Post-promo shows the recurring $3/$15 token rate.</x:v>
      </x:c>
      <x:c r="G2" s="41" t="str">
        <x:v>Current pricing uses Claude Sonnet 5 launch pricing through 2026-08-31. Post-promo shows the recurring $3/$15 token rate.</x:v>
      </x:c>
      <x:c r="H2" s="41" t="str">
        <x:v>Current pricing uses Claude Sonnet 5 launch pricing through 2026-08-31. Post-promo shows the recurring $3/$15 token rate.</x:v>
      </x:c>
      <x:c r="I2" s="41" t="str">
        <x:v>Current pricing uses Claude Sonnet 5 launch pricing through 2026-08-31. Post-promo shows the recurring $3/$15 token rate.</x:v>
      </x:c>
      <x:c r="J2" s="41" t="str">
        <x:v>Current pricing uses Claude Sonnet 5 launch pricing through 2026-08-31. Post-promo shows the recurring $3/$15 token rate.</x:v>
      </x:c>
      <x:c r="K2" s="41" t="str">
        <x:v>Current pricing uses Claude Sonnet 5 launch pricing through 2026-08-31. Post-promo shows the recurring $3/$15 token rate.</x:v>
      </x:c>
      <x:c r="L2" s="41" t="str">
        <x:v>Current pricing uses Claude Sonnet 5 launch pricing through 2026-08-31. Post-promo shows the recurring $3/$15 token rate.</x:v>
      </x:c>
      <x:c r="M2" s="41" t="str">
        <x:v>Current pricing uses Claude Sonnet 5 launch pricing through 2026-08-31. Post-promo shows the recurring $3/$15 token rate.</x:v>
      </x:c>
    </x:row>
    <x:row r="3">
      <x:c r="A3" s="71"/>
      <x:c r="B3" s="71"/>
      <x:c r="C3" s="71"/>
      <x:c r="D3" s="71"/>
      <x:c r="E3" s="71"/>
      <x:c r="F3" s="71"/>
      <x:c r="G3" s="71"/>
      <x:c r="H3" s="71"/>
      <x:c r="I3" s="71"/>
      <x:c r="J3" s="71"/>
      <x:c r="K3" s="71"/>
      <x:c r="L3" s="71"/>
      <x:c r="M3" s="71"/>
    </x:row>
    <x:row r="4" ht="22" customHeight="1">
      <x:c r="A4" s="72" t="str">
        <x:v>Published model rates (USD per 1M tokens)</x:v>
      </x:c>
      <x:c r="B4" s="72" t="str">
        <x:v>Published model rates (USD per 1M tokens)</x:v>
      </x:c>
      <x:c r="C4" s="72" t="str">
        <x:v>Published model rates (USD per 1M tokens)</x:v>
      </x:c>
      <x:c r="D4" s="72" t="str">
        <x:v>Published model rates (USD per 1M tokens)</x:v>
      </x:c>
      <x:c r="E4" s="72" t="str">
        <x:v>Published model rates (USD per 1M tokens)</x:v>
      </x:c>
      <x:c r="F4" s="72" t="str">
        <x:v>Published model rates (USD per 1M tokens)</x:v>
      </x:c>
      <x:c r="G4" s="71"/>
      <x:c r="H4" s="72" t="str">
        <x:v>Vertex Google Search grounding</x:v>
      </x:c>
      <x:c r="I4" s="72" t="str">
        <x:v>Vertex Google Search grounding</x:v>
      </x:c>
      <x:c r="J4" s="71"/>
      <x:c r="K4" s="71"/>
      <x:c r="L4" s="71"/>
      <x:c r="M4" s="71"/>
    </x:row>
    <x:row r="5">
      <x:c r="A5" s="102" t="str">
        <x:v>Model</x:v>
      </x:c>
      <x:c r="B5" s="102" t="str">
        <x:v>Input — current</x:v>
      </x:c>
      <x:c r="C5" s="102" t="str">
        <x:v>Output — current</x:v>
      </x:c>
      <x:c r="D5" s="102" t="str">
        <x:v>Input — post-promo</x:v>
      </x:c>
      <x:c r="E5" s="102" t="str">
        <x:v>Output — post-promo</x:v>
      </x:c>
      <x:c r="F5" s="102" t="str">
        <x:v>Pricing note</x:v>
      </x:c>
      <x:c r="G5" s="71"/>
      <x:c r="H5" s="319" t="str">
        <x:v>Free grounded prompts</x:v>
      </x:c>
      <x:c r="I5" s="320" t="n">
        <x:v>1500</x:v>
      </x:c>
      <x:c r="J5" s="71"/>
      <x:c r="K5" s="71"/>
      <x:c r="L5" s="71"/>
      <x:c r="M5" s="71"/>
    </x:row>
    <x:row r="6">
      <x:c r="A6" s="71" t="str">
        <x:v>Claude Sonnet 5</x:v>
      </x:c>
      <x:c r="B6" s="321" t="n">
        <x:v>2</x:v>
      </x:c>
      <x:c r="C6" s="321" t="n">
        <x:v>10</x:v>
      </x:c>
      <x:c r="D6" s="321" t="n">
        <x:v>3</x:v>
      </x:c>
      <x:c r="E6" s="321" t="n">
        <x:v>15</x:v>
      </x:c>
      <x:c r="F6" s="71" t="str">
        <x:v>AWS launch price ends 2026-08-31</x:v>
      </x:c>
      <x:c r="G6" s="71"/>
      <x:c r="H6" s="319" t="str">
        <x:v>Grounding price</x:v>
      </x:c>
      <x:c r="I6" s="321" t="n">
        <x:v>35</x:v>
      </x:c>
      <x:c r="J6" s="71"/>
      <x:c r="K6" s="71"/>
      <x:c r="L6" s="71"/>
      <x:c r="M6" s="71"/>
    </x:row>
    <x:row r="7">
      <x:c r="A7" s="71" t="str">
        <x:v>Claude Sonnet 4.5</x:v>
      </x:c>
      <x:c r="B7" s="321" t="n">
        <x:v>3</x:v>
      </x:c>
      <x:c r="C7" s="321" t="n">
        <x:v>15</x:v>
      </x:c>
      <x:c r="D7" s="321" t="n">
        <x:v>3</x:v>
      </x:c>
      <x:c r="E7" s="321" t="n">
        <x:v>15</x:v>
      </x:c>
      <x:c r="F7" s="71" t="str">
        <x:v>AWS standard global / cross-region rate</x:v>
      </x:c>
      <x:c r="G7" s="71"/>
      <x:c r="H7" s="319" t="str">
        <x:v>Allowance period</x:v>
      </x:c>
      <x:c r="I7" s="71" t="str">
        <x:v>per day</x:v>
      </x:c>
      <x:c r="J7" s="71"/>
      <x:c r="K7" s="71"/>
      <x:c r="L7" s="71"/>
      <x:c r="M7" s="71"/>
    </x:row>
    <x:row r="8">
      <x:c r="A8" s="71" t="str">
        <x:v>Gemini 2.5 Flash (thinking)</x:v>
      </x:c>
      <x:c r="B8" s="321" t="n">
        <x:v>0.15</x:v>
      </x:c>
      <x:c r="C8" s="321" t="n">
        <x:v>3.5</x:v>
      </x:c>
      <x:c r="D8" s="321" t="n">
        <x:v>0.15</x:v>
      </x:c>
      <x:c r="E8" s="321" t="n">
        <x:v>3.5</x:v>
      </x:c>
      <x:c r="F8" s="71" t="str">
        <x:v>Thinking output rate because thinking is not disabled</x:v>
      </x:c>
      <x:c r="G8" s="71"/>
      <x:c r="H8" s="71"/>
      <x:c r="I8" s="71"/>
      <x:c r="J8" s="71"/>
      <x:c r="K8" s="71"/>
      <x:c r="L8" s="71"/>
      <x:c r="M8" s="71"/>
    </x:row>
    <x:row r="9">
      <x:c r="A9" s="71" t="str">
        <x:v>Amazon Nova 2 Lite</x:v>
      </x:c>
      <x:c r="B9" s="321" t="n">
        <x:v>0.3</x:v>
      </x:c>
      <x:c r="C9" s="321" t="n">
        <x:v>2.5</x:v>
      </x:c>
      <x:c r="D9" s="321" t="n">
        <x:v>0.3</x:v>
      </x:c>
      <x:c r="E9" s="321" t="n">
        <x:v>2.5</x:v>
      </x:c>
      <x:c r="F9" s="71" t="str">
        <x:v>Bedrock standard on-demand</x:v>
      </x:c>
      <x:c r="G9" s="71"/>
      <x:c r="H9" s="71"/>
      <x:c r="I9" s="71"/>
      <x:c r="J9" s="71"/>
      <x:c r="K9" s="71"/>
      <x:c r="L9" s="71"/>
      <x:c r="M9" s="71"/>
    </x:row>
    <x:row r="10">
      <x:c r="A10" s="71"/>
      <x:c r="B10" s="71"/>
      <x:c r="C10" s="71"/>
      <x:c r="D10" s="71"/>
      <x:c r="E10" s="71"/>
      <x:c r="F10" s="71"/>
      <x:c r="G10" s="71"/>
      <x:c r="H10" s="71"/>
      <x:c r="I10" s="71"/>
      <x:c r="J10" s="71"/>
      <x:c r="K10" s="71"/>
      <x:c r="L10" s="71"/>
      <x:c r="M10" s="71"/>
    </x:row>
    <x:row r="11">
      <x:c r="A11" s="71"/>
      <x:c r="B11" s="71"/>
      <x:c r="C11" s="71"/>
      <x:c r="D11" s="71"/>
      <x:c r="E11" s="71"/>
      <x:c r="F11" s="71"/>
      <x:c r="G11" s="71"/>
      <x:c r="H11" s="71"/>
      <x:c r="I11" s="71"/>
      <x:c r="J11" s="71"/>
      <x:c r="K11" s="71"/>
      <x:c r="L11" s="71"/>
      <x:c r="M11" s="71"/>
    </x:row>
    <x:row r="12" ht="22" customHeight="1">
      <x:c r="A12" s="72" t="str">
        <x:v>Monthly model cost calculation</x:v>
      </x:c>
      <x:c r="B12" s="72" t="str">
        <x:v>Monthly model cost calculation</x:v>
      </x:c>
      <x:c r="C12" s="72" t="str">
        <x:v>Monthly model cost calculation</x:v>
      </x:c>
      <x:c r="D12" s="72" t="str">
        <x:v>Monthly model cost calculation</x:v>
      </x:c>
      <x:c r="E12" s="72" t="str">
        <x:v>Monthly model cost calculation</x:v>
      </x:c>
      <x:c r="F12" s="72" t="str">
        <x:v>Monthly model cost calculation</x:v>
      </x:c>
      <x:c r="G12" s="72" t="str">
        <x:v>Monthly model cost calculation</x:v>
      </x:c>
      <x:c r="H12" s="72" t="str">
        <x:v>Monthly model cost calculation</x:v>
      </x:c>
      <x:c r="I12" s="72" t="str">
        <x:v>Monthly model cost calculation</x:v>
      </x:c>
      <x:c r="J12" s="72" t="str">
        <x:v>Monthly model cost calculation</x:v>
      </x:c>
      <x:c r="K12" s="72" t="str">
        <x:v>Monthly model cost calculation</x:v>
      </x:c>
      <x:c r="L12" s="72" t="str">
        <x:v>Monthly model cost calculation</x:v>
      </x:c>
      <x:c r="M12" s="72" t="str">
        <x:v>Monthly model cost calculation</x:v>
      </x:c>
    </x:row>
    <x:row r="13">
      <x:c r="A13" s="44" t="str">
        <x:v>Agent</x:v>
      </x:c>
      <x:c r="B13" s="44" t="str">
        <x:v>Workload</x:v>
      </x:c>
      <x:c r="C13" s="44" t="str">
        <x:v>Model / service</x:v>
      </x:c>
      <x:c r="D13" s="44" t="str">
        <x:v>Monthly calls</x:v>
      </x:c>
      <x:c r="E13" s="44" t="str">
        <x:v>Input tokens</x:v>
      </x:c>
      <x:c r="F13" s="44" t="str">
        <x:v>Output tokens</x:v>
      </x:c>
      <x:c r="G13" s="44" t="str">
        <x:v>Input rate</x:v>
      </x:c>
      <x:c r="H13" s="44" t="str">
        <x:v>Output rate</x:v>
      </x:c>
      <x:c r="I13" s="44" t="str">
        <x:v>Input cost</x:v>
      </x:c>
      <x:c r="J13" s="44" t="str">
        <x:v>Output cost</x:v>
      </x:c>
      <x:c r="K13" s="44" t="str">
        <x:v>Grounding cost</x:v>
      </x:c>
      <x:c r="L13" s="44" t="str">
        <x:v>Current total</x:v>
      </x:c>
      <x:c r="M13" s="44" t="str">
        <x:v>Post-promo total</x:v>
      </x:c>
    </x:row>
    <x:row r="14">
      <x:c r="A14" s="73" t="str">
        <x:v>Download Agent</x:v>
      </x:c>
      <x:c r="B14" s="73" t="str">
        <x:v>Query prep, class match, query generation</x:v>
      </x:c>
      <x:c r="C14" s="73" t="str">
        <x:v>Claude Sonnet 5</x:v>
      </x:c>
      <x:c r="D14" s="322" t="n">
        <x:f>'Assumptions'!K23</x:f>
        <x:v>720</x:v>
      </x:c>
      <x:c r="E14" s="322" t="n">
        <x:f>'Assumptions'!I23</x:f>
        <x:v>1440000</x:v>
      </x:c>
      <x:c r="F14" s="322" t="n">
        <x:f>'Assumptions'!J23</x:f>
        <x:v>180000</x:v>
      </x:c>
      <x:c r="G14" s="323" t="n">
        <x:f>$B$6</x:f>
        <x:v>2</x:v>
      </x:c>
      <x:c r="H14" s="323" t="n">
        <x:f>$C$6</x:f>
        <x:v>10</x:v>
      </x:c>
      <x:c r="I14" s="324" t="n">
        <x:f>E14/1000000*G14</x:f>
        <x:v>2.88</x:v>
      </x:c>
      <x:c r="J14" s="324" t="n">
        <x:f>F14/1000000*H14</x:f>
        <x:v>1.7999999999999998</x:v>
      </x:c>
      <x:c r="K14" s="324" t="n">
        <x:v>0</x:v>
      </x:c>
      <x:c r="L14" s="324" t="n">
        <x:f>I14+J14+K14</x:f>
        <x:v>4.68</x:v>
      </x:c>
      <x:c r="M14" s="324" t="n">
        <x:f>E14/1000000*$D$6+F14/1000000*$E$6+K14</x:f>
        <x:v>7.02</x:v>
      </x:c>
    </x:row>
    <x:row r="15">
      <x:c r="A15" s="73" t="str">
        <x:v>Download Agent</x:v>
      </x:c>
      <x:c r="B15" s="73" t="str">
        <x:v>Candidate verification / selection</x:v>
      </x:c>
      <x:c r="C15" s="73" t="str">
        <x:v>Claude Sonnet 5</x:v>
      </x:c>
      <x:c r="D15" s="322" t="n">
        <x:f>'Assumptions'!K24</x:f>
        <x:v>960</x:v>
      </x:c>
      <x:c r="E15" s="322" t="n">
        <x:f>'Assumptions'!I24</x:f>
        <x:v>4800000</x:v>
      </x:c>
      <x:c r="F15" s="322" t="n">
        <x:f>'Assumptions'!J24</x:f>
        <x:v>144000</x:v>
      </x:c>
      <x:c r="G15" s="323" t="n">
        <x:f>$B$6</x:f>
        <x:v>2</x:v>
      </x:c>
      <x:c r="H15" s="323" t="n">
        <x:f>$C$6</x:f>
        <x:v>10</x:v>
      </x:c>
      <x:c r="I15" s="324" t="n">
        <x:f>E15/1000000*G15</x:f>
        <x:v>9.6</x:v>
      </x:c>
      <x:c r="J15" s="324" t="n">
        <x:f>F15/1000000*H15</x:f>
        <x:v>1.44</x:v>
      </x:c>
      <x:c r="K15" s="324" t="n">
        <x:v>0</x:v>
      </x:c>
      <x:c r="L15" s="324" t="n">
        <x:f>I15+J15+K15</x:f>
        <x:v>11.04</x:v>
      </x:c>
      <x:c r="M15" s="324" t="n">
        <x:f>E15/1000000*$D$6+F15/1000000*$E$6+K15</x:f>
        <x:v>16.56</x:v>
      </x:c>
    </x:row>
    <x:row r="16">
      <x:c r="A16" s="73" t="str">
        <x:v>Download Agent</x:v>
      </x:c>
      <x:c r="B16" s="73" t="str">
        <x:v>Grounded document discovery</x:v>
      </x:c>
      <x:c r="C16" s="73" t="str">
        <x:v>Gemini 2.5 Flash (thinking)</x:v>
      </x:c>
      <x:c r="D16" s="322" t="n">
        <x:f>'Assumptions'!K25</x:f>
        <x:v>1440</x:v>
      </x:c>
      <x:c r="E16" s="322" t="n">
        <x:f>'Assumptions'!I25</x:f>
        <x:v>1152000</x:v>
      </x:c>
      <x:c r="F16" s="322" t="n">
        <x:f>'Assumptions'!J25</x:f>
        <x:v>504000</x:v>
      </x:c>
      <x:c r="G16" s="323" t="n">
        <x:f>$B$8</x:f>
        <x:v>0.15</x:v>
      </x:c>
      <x:c r="H16" s="323" t="n">
        <x:f>$C$8</x:f>
        <x:v>3.5</x:v>
      </x:c>
      <x:c r="I16" s="324" t="n">
        <x:f>E16/1000000*G16</x:f>
        <x:v>0.17279999999999998</x:v>
      </x:c>
      <x:c r="J16" s="324" t="n">
        <x:f>F16/1000000*H16</x:f>
        <x:v>1.764</x:v>
      </x:c>
      <x:c r="K16" s="324" t="n">
        <x:v>0</x:v>
      </x:c>
      <x:c r="L16" s="324" t="n">
        <x:f>I16+J16+K16</x:f>
        <x:v>1.9368</x:v>
      </x:c>
      <x:c r="M16" s="324" t="n">
        <x:f>E16/1000000*$D$8+F16/1000000*$E$8+K16</x:f>
        <x:v>1.9368</x:v>
      </x:c>
    </x:row>
    <x:row r="17">
      <x:c r="A17" s="73" t="str">
        <x:v>Download Agent</x:v>
      </x:c>
      <x:c r="B17" s="73" t="str">
        <x:v>Company identity hint</x:v>
      </x:c>
      <x:c r="C17" s="73" t="str">
        <x:v>Gemini 2.5 Flash (thinking)</x:v>
      </x:c>
      <x:c r="D17" s="322" t="n">
        <x:f>'Assumptions'!K26</x:f>
        <x:v>20</x:v>
      </x:c>
      <x:c r="E17" s="322" t="n">
        <x:f>'Assumptions'!I26</x:f>
        <x:v>12000</x:v>
      </x:c>
      <x:c r="F17" s="322" t="n">
        <x:f>'Assumptions'!J26</x:f>
        <x:v>7000</x:v>
      </x:c>
      <x:c r="G17" s="323" t="n">
        <x:f>$B$8</x:f>
        <x:v>0.15</x:v>
      </x:c>
      <x:c r="H17" s="323" t="n">
        <x:f>$C$8</x:f>
        <x:v>3.5</x:v>
      </x:c>
      <x:c r="I17" s="324" t="n">
        <x:f>E17/1000000*G17</x:f>
        <x:v>0.0018</x:v>
      </x:c>
      <x:c r="J17" s="324" t="n">
        <x:f>F17/1000000*H17</x:f>
        <x:v>0.0245</x:v>
      </x:c>
      <x:c r="K17" s="324" t="n">
        <x:v>0</x:v>
      </x:c>
      <x:c r="L17" s="324" t="n">
        <x:f>I17+J17+K17</x:f>
        <x:v>0.0263</x:v>
      </x:c>
      <x:c r="M17" s="324" t="n">
        <x:f>E17/1000000*$D$8+F17/1000000*$E$8+K17</x:f>
        <x:v>0.0263</x:v>
      </x:c>
    </x:row>
    <x:row r="18">
      <x:c r="A18" s="73" t="str">
        <x:v>Download Agent</x:v>
      </x:c>
      <x:c r="B18" s="73" t="str">
        <x:v>Browser-vision fallback</x:v>
      </x:c>
      <x:c r="C18" s="73" t="str">
        <x:v>Amazon Nova 2 Lite</x:v>
      </x:c>
      <x:c r="D18" s="322" t="n">
        <x:f>'Assumptions'!K27</x:f>
        <x:v>12</x:v>
      </x:c>
      <x:c r="E18" s="322" t="n">
        <x:f>'Assumptions'!I27</x:f>
        <x:v>8760</x:v>
      </x:c>
      <x:c r="F18" s="322" t="n">
        <x:f>'Assumptions'!J27</x:f>
        <x:v>1200</x:v>
      </x:c>
      <x:c r="G18" s="323" t="n">
        <x:f>$B$9</x:f>
        <x:v>0.3</x:v>
      </x:c>
      <x:c r="H18" s="323" t="n">
        <x:f>$C$9</x:f>
        <x:v>2.5</x:v>
      </x:c>
      <x:c r="I18" s="324" t="n">
        <x:f>E18/1000000*G18</x:f>
        <x:v>0.002628</x:v>
      </x:c>
      <x:c r="J18" s="324" t="n">
        <x:f>F18/1000000*H18</x:f>
        <x:v>0.0029999999999999996</x:v>
      </x:c>
      <x:c r="K18" s="324" t="n">
        <x:v>0</x:v>
      </x:c>
      <x:c r="L18" s="324" t="n">
        <x:f>I18+J18+K18</x:f>
        <x:v>0.005627999999999999</x:v>
      </x:c>
      <x:c r="M18" s="324" t="n">
        <x:f>E18/1000000*$D$9+F18/1000000*$E$9+K18</x:f>
        <x:v>0.005627999999999999</x:v>
      </x:c>
    </x:row>
    <x:row r="19">
      <x:c r="A19" s="73" t="str">
        <x:v>PageIndex Agent</x:v>
      </x:c>
      <x:c r="B19" s="73" t="str">
        <x:v>Hierarchical tree indexing</x:v>
      </x:c>
      <x:c r="C19" s="73" t="str">
        <x:v>Claude Sonnet 4.5</x:v>
      </x:c>
      <x:c r="D19" s="322" t="n">
        <x:f>'Assumptions'!K28</x:f>
        <x:v>240</x:v>
      </x:c>
      <x:c r="E19" s="322" t="n">
        <x:f>'Assumptions'!I28</x:f>
        <x:v>38400000</x:v>
      </x:c>
      <x:c r="F19" s="322" t="n">
        <x:f>'Assumptions'!J28</x:f>
        <x:v>3720000</x:v>
      </x:c>
      <x:c r="G19" s="323" t="n">
        <x:f>$B$7</x:f>
        <x:v>3</x:v>
      </x:c>
      <x:c r="H19" s="323" t="n">
        <x:f>$C$7</x:f>
        <x:v>15</x:v>
      </x:c>
      <x:c r="I19" s="324" t="n">
        <x:f>E19/1000000*G19</x:f>
        <x:v>115.19999999999999</x:v>
      </x:c>
      <x:c r="J19" s="324" t="n">
        <x:f>F19/1000000*H19</x:f>
        <x:v>55.800000000000004</x:v>
      </x:c>
      <x:c r="K19" s="324" t="n">
        <x:v>0</x:v>
      </x:c>
      <x:c r="L19" s="324" t="n">
        <x:f>I19+J19+K19</x:f>
        <x:v>171</x:v>
      </x:c>
      <x:c r="M19" s="324" t="n">
        <x:f>E19/1000000*$D$7+F19/1000000*$E$7+K19</x:f>
        <x:v>171</x:v>
      </x:c>
    </x:row>
    <x:row r="20">
      <x:c r="A20" s="73" t="str">
        <x:v>Answering Agent</x:v>
      </x:c>
      <x:c r="B20" s="73" t="str">
        <x:v>ReAct tool loop</x:v>
      </x:c>
      <x:c r="C20" s="73" t="str">
        <x:v>Claude Sonnet 5</x:v>
      </x:c>
      <x:c r="D20" s="322" t="n">
        <x:f>'Assumptions'!K29</x:f>
        <x:v>6000</x:v>
      </x:c>
      <x:c r="E20" s="322" t="n">
        <x:f>'Assumptions'!I29</x:f>
        <x:v>72000000</x:v>
      </x:c>
      <x:c r="F20" s="322" t="n">
        <x:f>'Assumptions'!J29</x:f>
        <x:v>4200000</x:v>
      </x:c>
      <x:c r="G20" s="323" t="n">
        <x:f>$B$6</x:f>
        <x:v>2</x:v>
      </x:c>
      <x:c r="H20" s="323" t="n">
        <x:f>$C$6</x:f>
        <x:v>10</x:v>
      </x:c>
      <x:c r="I20" s="324" t="n">
        <x:f>E20/1000000*G20</x:f>
        <x:v>144</x:v>
      </x:c>
      <x:c r="J20" s="324" t="n">
        <x:f>F20/1000000*H20</x:f>
        <x:v>42</x:v>
      </x:c>
      <x:c r="K20" s="324" t="n">
        <x:v>0</x:v>
      </x:c>
      <x:c r="L20" s="324" t="n">
        <x:f>I20+J20+K20</x:f>
        <x:v>186</x:v>
      </x:c>
      <x:c r="M20" s="324" t="n">
        <x:f>E20/1000000*$D$6+F20/1000000*$E$6+K20</x:f>
        <x:v>279</x:v>
      </x:c>
    </x:row>
    <x:row r="21">
      <x:c r="A21" s="73" t="str">
        <x:v>Download Agent</x:v>
      </x:c>
      <x:c r="B21" s="73" t="str">
        <x:v>Google Search grounding add-on</x:v>
      </x:c>
      <x:c r="C21" s="73" t="str">
        <x:v>Vertex grounding</x:v>
      </x:c>
      <x:c r="D21" s="80" t="n">
        <x:f>D16+D17</x:f>
        <x:v>1460</x:v>
      </x:c>
      <x:c r="E21" s="80" t="n">
        <x:v>0</x:v>
      </x:c>
      <x:c r="F21" s="80" t="n">
        <x:v>0</x:v>
      </x:c>
      <x:c r="G21" s="323" t="n">
        <x:v>0</x:v>
      </x:c>
      <x:c r="H21" s="323" t="n">
        <x:v>0</x:v>
      </x:c>
      <x:c r="I21" s="324" t="n">
        <x:v>0</x:v>
      </x:c>
      <x:c r="J21" s="324" t="n">
        <x:v>0</x:v>
      </x:c>
      <x:c r="K21" s="324" t="n">
        <x:f>MAX(0,D21/'Assumptions'!$B$7-$I$5)*'Assumptions'!$B$7*$I$6/1000</x:f>
        <x:v>0</x:v>
      </x:c>
      <x:c r="L21" s="324" t="n">
        <x:f>K21</x:f>
        <x:v>0</x:v>
      </x:c>
      <x:c r="M21" s="324" t="n">
        <x:f>L21</x:f>
        <x:v>0</x:v>
      </x:c>
    </x:row>
    <x:row r="22">
      <x:c r="A22" s="325" t="str">
        <x:v>TOTAL</x:v>
      </x:c>
      <x:c r="B22" s="325" t="str"/>
      <x:c r="C22" s="325" t="str"/>
      <x:c r="D22" s="326" t="n">
        <x:f>SUM(D14:D21)</x:f>
        <x:v>10852</x:v>
      </x:c>
      <x:c r="E22" s="326" t="n">
        <x:f>SUM(E14:E21)</x:f>
        <x:v>117812760</x:v>
      </x:c>
      <x:c r="F22" s="326" t="n">
        <x:f>SUM(F14:F21)</x:f>
        <x:v>8756200</x:v>
      </x:c>
      <x:c r="G22" s="325" t="str"/>
      <x:c r="H22" s="325" t="str"/>
      <x:c r="I22" s="327" t="n">
        <x:f>SUM(I14:I21)</x:f>
        <x:v>271.85722799999996</x:v>
      </x:c>
      <x:c r="J22" s="327" t="n">
        <x:f>SUM(J14:J21)</x:f>
        <x:v>102.8315</x:v>
      </x:c>
      <x:c r="K22" s="327" t="n">
        <x:f>SUM(K14:K21)</x:f>
        <x:v>0</x:v>
      </x:c>
      <x:c r="L22" s="327" t="n">
        <x:f>SUM(L14:L21)</x:f>
        <x:v>374.68872799999997</x:v>
      </x:c>
      <x:c r="M22" s="327" t="n">
        <x:f>SUM(M14:M21)</x:f>
        <x:v>475.548728</x:v>
      </x:c>
    </x:row>
  </x:sheetData>
  <x:mergeCells>
    <x:mergeCell ref="A1:M1"/>
    <x:mergeCell ref="A2:M2"/>
    <x:mergeCell ref="A4:F4"/>
    <x:mergeCell ref="H4:I4"/>
    <x:mergeCell ref="A12:M12"/>
  </x:mergeCells>
  <x:pageMargins left="0.7" right="0.7" top="0.75" bottom="0.75" header="0.3" footer="0.3"/>
  <x:legacyDrawing xmlns:r="http://schemas.openxmlformats.org/officeDocument/2006/relationships" r:id="R81963205cba54314"/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29" hidden="0" customWidth="1"/>
    <x:col min="3" max="3" width="24" hidden="0" customWidth="1"/>
    <x:col min="4" max="4" width="15" hidden="0" customWidth="1"/>
    <x:col min="5" max="5" width="17" hidden="0" customWidth="1"/>
    <x:col min="6" max="6" width="16" hidden="0" customWidth="1"/>
    <x:col min="7" max="7" width="14" hidden="0" customWidth="1"/>
    <x:col min="8" max="8" width="16" hidden="0" customWidth="1"/>
    <x:col min="9" max="9" width="40" hidden="0" customWidth="1"/>
  </x:cols>
  <x:sheetData>
    <x:row r="1" ht="34" customHeight="1">
      <x:c r="A1" s="70" t="str">
        <x:v>Monthly Infrastructure Cost — Separate from Model Spend</x:v>
      </x:c>
      <x:c r="B1" s="70" t="str">
        <x:v>Monthly Infrastructure Cost — Separate from Model Spend</x:v>
      </x:c>
      <x:c r="C1" s="70" t="str">
        <x:v>Monthly Infrastructure Cost — Separate from Model Spend</x:v>
      </x:c>
      <x:c r="D1" s="70" t="str">
        <x:v>Monthly Infrastructure Cost — Separate from Model Spend</x:v>
      </x:c>
      <x:c r="E1" s="70" t="str">
        <x:v>Monthly Infrastructure Cost — Separate from Model Spend</x:v>
      </x:c>
      <x:c r="F1" s="70" t="str">
        <x:v>Monthly Infrastructure Cost — Separate from Model Spend</x:v>
      </x:c>
      <x:c r="G1" s="70" t="str">
        <x:v>Monthly Infrastructure Cost — Separate from Model Spend</x:v>
      </x:c>
      <x:c r="H1" s="70" t="str">
        <x:v>Monthly Infrastructure Cost — Separate from Model Spend</x:v>
      </x:c>
      <x:c r="I1" s="70" t="str">
        <x:v>Monthly Infrastructure Cost — Separate from Model Spend</x:v>
      </x:c>
    </x:row>
    <x:row r="2" ht="30" customHeight="1">
      <x:c r="A2" s="41" t="str">
        <x:v>Includes AgentCore Runtime/Browser, Vertex Lambda, fallback web search, S3, DynamoDB, ECR, Secrets Manager, CloudWatch, KMS, and small AWS→GCP egress.</x:v>
      </x:c>
      <x:c r="B2" s="41" t="str">
        <x:v>Includes AgentCore Runtime/Browser, Vertex Lambda, fallback web search, S3, DynamoDB, ECR, Secrets Manager, CloudWatch, KMS, and small AWS→GCP egress.</x:v>
      </x:c>
      <x:c r="C2" s="41" t="str">
        <x:v>Includes AgentCore Runtime/Browser, Vertex Lambda, fallback web search, S3, DynamoDB, ECR, Secrets Manager, CloudWatch, KMS, and small AWS→GCP egress.</x:v>
      </x:c>
      <x:c r="D2" s="41" t="str">
        <x:v>Includes AgentCore Runtime/Browser, Vertex Lambda, fallback web search, S3, DynamoDB, ECR, Secrets Manager, CloudWatch, KMS, and small AWS→GCP egress.</x:v>
      </x:c>
      <x:c r="E2" s="41" t="str">
        <x:v>Includes AgentCore Runtime/Browser, Vertex Lambda, fallback web search, S3, DynamoDB, ECR, Secrets Manager, CloudWatch, KMS, and small AWS→GCP egress.</x:v>
      </x:c>
      <x:c r="F2" s="41" t="str">
        <x:v>Includes AgentCore Runtime/Browser, Vertex Lambda, fallback web search, S3, DynamoDB, ECR, Secrets Manager, CloudWatch, KMS, and small AWS→GCP egress.</x:v>
      </x:c>
      <x:c r="G2" s="41" t="str">
        <x:v>Includes AgentCore Runtime/Browser, Vertex Lambda, fallback web search, S3, DynamoDB, ECR, Secrets Manager, CloudWatch, KMS, and small AWS→GCP egress.</x:v>
      </x:c>
      <x:c r="H2" s="41" t="str">
        <x:v>Includes AgentCore Runtime/Browser, Vertex Lambda, fallback web search, S3, DynamoDB, ECR, Secrets Manager, CloudWatch, KMS, and small AWS→GCP egress.</x:v>
      </x:c>
      <x:c r="I2" s="41" t="str">
        <x:v>Includes AgentCore Runtime/Browser, Vertex Lambda, fallback web search, S3, DynamoDB, ECR, Secrets Manager, CloudWatch, KMS, and small AWS→GCP egress.</x:v>
      </x:c>
    </x:row>
    <x:row r="3">
      <x:c r="A3" s="71"/>
      <x:c r="B3" s="71"/>
      <x:c r="C3" s="71"/>
      <x:c r="D3" s="71"/>
      <x:c r="E3" s="71"/>
      <x:c r="F3" s="71"/>
      <x:c r="G3" s="71"/>
      <x:c r="H3" s="71"/>
      <x:c r="I3" s="71"/>
    </x:row>
    <x:row r="4" ht="22" customHeight="1">
      <x:c r="A4" s="72" t="str">
        <x:v>Published infrastructure rates</x:v>
      </x:c>
      <x:c r="B4" s="72" t="str">
        <x:v>Published infrastructure rates</x:v>
      </x:c>
      <x:c r="C4" s="72" t="str">
        <x:v>Published infrastructure rates</x:v>
      </x:c>
      <x:c r="D4" s="72" t="str">
        <x:v>Published infrastructure rates</x:v>
      </x:c>
      <x:c r="E4" s="71"/>
      <x:c r="F4" s="71"/>
      <x:c r="G4" s="71"/>
      <x:c r="H4" s="71"/>
      <x:c r="I4" s="71"/>
    </x:row>
    <x:row r="5">
      <x:c r="A5" s="102" t="str">
        <x:v>Service / meter</x:v>
      </x:c>
      <x:c r="B5" s="102" t="str">
        <x:v>Rate</x:v>
      </x:c>
      <x:c r="C5" s="102" t="str">
        <x:v>Billing unit</x:v>
      </x:c>
      <x:c r="D5" s="102" t="str">
        <x:v>Pricing basis</x:v>
      </x:c>
      <x:c r="E5" s="71"/>
      <x:c r="F5" s="71"/>
      <x:c r="G5" s="71"/>
      <x:c r="H5" s="71"/>
      <x:c r="I5" s="71"/>
    </x:row>
    <x:row r="6">
      <x:c r="A6" s="71" t="str">
        <x:v>AgentCore Runtime CPU</x:v>
      </x:c>
      <x:c r="B6" s="328" t="n">
        <x:v>0.0895</x:v>
      </x:c>
      <x:c r="C6" s="71" t="str">
        <x:v>vCPU-hour</x:v>
      </x:c>
      <x:c r="D6" s="71" t="str">
        <x:v>AWS AgentCore</x:v>
      </x:c>
      <x:c r="E6" s="71"/>
      <x:c r="F6" s="71"/>
      <x:c r="G6" s="71"/>
      <x:c r="H6" s="71"/>
      <x:c r="I6" s="71"/>
    </x:row>
    <x:row r="7">
      <x:c r="A7" s="71" t="str">
        <x:v>AgentCore Runtime memory</x:v>
      </x:c>
      <x:c r="B7" s="328" t="n">
        <x:v>0.00945</x:v>
      </x:c>
      <x:c r="C7" s="71" t="str">
        <x:v>GB-hour</x:v>
      </x:c>
      <x:c r="D7" s="71" t="str">
        <x:v>AWS AgentCore</x:v>
      </x:c>
      <x:c r="E7" s="71"/>
      <x:c r="F7" s="71"/>
      <x:c r="G7" s="71"/>
      <x:c r="H7" s="71"/>
      <x:c r="I7" s="71"/>
    </x:row>
    <x:row r="8">
      <x:c r="A8" s="71" t="str">
        <x:v>AgentCore Browser CPU</x:v>
      </x:c>
      <x:c r="B8" s="328" t="n">
        <x:v>0.0895</x:v>
      </x:c>
      <x:c r="C8" s="71" t="str">
        <x:v>vCPU-hour</x:v>
      </x:c>
      <x:c r="D8" s="71" t="str">
        <x:v>AWS AgentCore</x:v>
      </x:c>
      <x:c r="E8" s="71"/>
      <x:c r="F8" s="71"/>
      <x:c r="G8" s="71"/>
      <x:c r="H8" s="71"/>
      <x:c r="I8" s="71"/>
    </x:row>
    <x:row r="9">
      <x:c r="A9" s="71" t="str">
        <x:v>AgentCore Browser memory</x:v>
      </x:c>
      <x:c r="B9" s="328" t="n">
        <x:v>0.00945</x:v>
      </x:c>
      <x:c r="C9" s="71" t="str">
        <x:v>GB-hour</x:v>
      </x:c>
      <x:c r="D9" s="71" t="str">
        <x:v>AWS AgentCore</x:v>
      </x:c>
      <x:c r="E9" s="71"/>
      <x:c r="F9" s="71"/>
      <x:c r="G9" s="71"/>
      <x:c r="H9" s="71"/>
      <x:c r="I9" s="71"/>
    </x:row>
    <x:row r="10">
      <x:c r="A10" s="71" t="str">
        <x:v>Lambda ARM compute</x:v>
      </x:c>
      <x:c r="B10" s="328" t="n">
        <x:v>0.0000133334</x:v>
      </x:c>
      <x:c r="C10" s="71" t="str">
        <x:v>GB-second</x:v>
      </x:c>
      <x:c r="D10" s="71" t="str">
        <x:v>AWS Lambda first ARM tier</x:v>
      </x:c>
      <x:c r="E10" s="71"/>
      <x:c r="F10" s="71"/>
      <x:c r="G10" s="71"/>
      <x:c r="H10" s="71"/>
      <x:c r="I10" s="71"/>
    </x:row>
    <x:row r="11">
      <x:c r="A11" s="71" t="str">
        <x:v>Lambda requests</x:v>
      </x:c>
      <x:c r="B11" s="328" t="n">
        <x:v>0.2</x:v>
      </x:c>
      <x:c r="C11" s="71" t="str">
        <x:v>1M requests</x:v>
      </x:c>
      <x:c r="D11" s="71" t="str">
        <x:v>AWS Lambda</x:v>
      </x:c>
      <x:c r="E11" s="71"/>
      <x:c r="F11" s="71"/>
      <x:c r="G11" s="71"/>
      <x:c r="H11" s="71"/>
      <x:c r="I11" s="71"/>
    </x:row>
    <x:row r="12">
      <x:c r="A12" s="71" t="str">
        <x:v>AgentCore Web Search</x:v>
      </x:c>
      <x:c r="B12" s="328" t="n">
        <x:v>7</x:v>
      </x:c>
      <x:c r="C12" s="71" t="str">
        <x:v>1K queries</x:v>
      </x:c>
      <x:c r="D12" s="71" t="str">
        <x:v>Vertex fallback only</x:v>
      </x:c>
      <x:c r="E12" s="71"/>
      <x:c r="F12" s="71"/>
      <x:c r="G12" s="71"/>
      <x:c r="H12" s="71"/>
      <x:c r="I12" s="71"/>
    </x:row>
    <x:row r="13">
      <x:c r="A13" s="71" t="str">
        <x:v>AgentCore Gateway invoke</x:v>
      </x:c>
      <x:c r="B13" s="328" t="n">
        <x:v>0.005</x:v>
      </x:c>
      <x:c r="C13" s="71" t="str">
        <x:v>1K invokes</x:v>
      </x:c>
      <x:c r="D13" s="71" t="str">
        <x:v>Vertex fallback only</x:v>
      </x:c>
      <x:c r="E13" s="71"/>
      <x:c r="F13" s="71"/>
      <x:c r="G13" s="71"/>
      <x:c r="H13" s="71"/>
      <x:c r="I13" s="71"/>
    </x:row>
    <x:row r="14">
      <x:c r="A14" s="71" t="str">
        <x:v>S3 Standard storage</x:v>
      </x:c>
      <x:c r="B14" s="328" t="n">
        <x:v>0.023</x:v>
      </x:c>
      <x:c r="C14" s="71" t="str">
        <x:v>GB-month</x:v>
      </x:c>
      <x:c r="D14" s="71" t="str">
        <x:v>us-east-1</x:v>
      </x:c>
      <x:c r="E14" s="71"/>
      <x:c r="F14" s="71"/>
      <x:c r="G14" s="71"/>
      <x:c r="H14" s="71"/>
      <x:c r="I14" s="71"/>
    </x:row>
    <x:row r="15">
      <x:c r="A15" s="71" t="str">
        <x:v>S3 PUT/COPY/POST/LIST</x:v>
      </x:c>
      <x:c r="B15" s="328" t="n">
        <x:v>0.005</x:v>
      </x:c>
      <x:c r="C15" s="71" t="str">
        <x:v>1K requests</x:v>
      </x:c>
      <x:c r="D15" s="71" t="str">
        <x:v>us-east-1</x:v>
      </x:c>
      <x:c r="E15" s="71"/>
      <x:c r="F15" s="71"/>
      <x:c r="G15" s="71"/>
      <x:c r="H15" s="71"/>
      <x:c r="I15" s="71"/>
    </x:row>
    <x:row r="16">
      <x:c r="A16" s="71" t="str">
        <x:v>S3 GET</x:v>
      </x:c>
      <x:c r="B16" s="328" t="n">
        <x:v>0.0004</x:v>
      </x:c>
      <x:c r="C16" s="71" t="str">
        <x:v>1K requests</x:v>
      </x:c>
      <x:c r="D16" s="71" t="str">
        <x:v>us-east-1</x:v>
      </x:c>
      <x:c r="E16" s="71"/>
      <x:c r="F16" s="71"/>
      <x:c r="G16" s="71"/>
      <x:c r="H16" s="71"/>
      <x:c r="I16" s="71"/>
    </x:row>
    <x:row r="17">
      <x:c r="A17" s="71" t="str">
        <x:v>DynamoDB on-demand write</x:v>
      </x:c>
      <x:c r="B17" s="328" t="n">
        <x:v>0.625</x:v>
      </x:c>
      <x:c r="C17" s="71" t="str">
        <x:v>1M WRU</x:v>
      </x:c>
      <x:c r="D17" s="71" t="str">
        <x:v>Standard table</x:v>
      </x:c>
      <x:c r="E17" s="71"/>
      <x:c r="F17" s="71"/>
      <x:c r="G17" s="71"/>
      <x:c r="H17" s="71"/>
      <x:c r="I17" s="71"/>
    </x:row>
    <x:row r="18">
      <x:c r="A18" s="71" t="str">
        <x:v>DynamoDB on-demand read</x:v>
      </x:c>
      <x:c r="B18" s="328" t="n">
        <x:v>0.125</x:v>
      </x:c>
      <x:c r="C18" s="71" t="str">
        <x:v>1M RRU</x:v>
      </x:c>
      <x:c r="D18" s="71" t="str">
        <x:v>Standard table</x:v>
      </x:c>
      <x:c r="E18" s="71"/>
      <x:c r="F18" s="71"/>
      <x:c r="G18" s="71"/>
      <x:c r="H18" s="71"/>
      <x:c r="I18" s="71"/>
    </x:row>
    <x:row r="19">
      <x:c r="A19" s="71" t="str">
        <x:v>DynamoDB storage</x:v>
      </x:c>
      <x:c r="B19" s="328" t="n">
        <x:v>0.25</x:v>
      </x:c>
      <x:c r="C19" s="71" t="str">
        <x:v>GB-month</x:v>
      </x:c>
      <x:c r="D19" s="71" t="str">
        <x:v>Standard table</x:v>
      </x:c>
      <x:c r="E19" s="71"/>
      <x:c r="F19" s="71"/>
      <x:c r="G19" s="71"/>
      <x:c r="H19" s="71"/>
      <x:c r="I19" s="71"/>
    </x:row>
    <x:row r="20">
      <x:c r="A20" s="71" t="str">
        <x:v>DynamoDB PITR</x:v>
      </x:c>
      <x:c r="B20" s="328" t="n">
        <x:v>0.2</x:v>
      </x:c>
      <x:c r="C20" s="71" t="str">
        <x:v>GB-month</x:v>
      </x:c>
      <x:c r="D20" s="71" t="str">
        <x:v>Continuous backups</x:v>
      </x:c>
      <x:c r="E20" s="71"/>
      <x:c r="F20" s="71"/>
      <x:c r="G20" s="71"/>
      <x:c r="H20" s="71"/>
      <x:c r="I20" s="71"/>
    </x:row>
    <x:row r="21">
      <x:c r="A21" s="71" t="str">
        <x:v>ECR private storage</x:v>
      </x:c>
      <x:c r="B21" s="328" t="n">
        <x:v>0.1</x:v>
      </x:c>
      <x:c r="C21" s="71" t="str">
        <x:v>GB-month</x:v>
      </x:c>
      <x:c r="D21" s="71" t="str">
        <x:v>Private repositories</x:v>
      </x:c>
      <x:c r="E21" s="71"/>
      <x:c r="F21" s="71"/>
      <x:c r="G21" s="71"/>
      <x:c r="H21" s="71"/>
      <x:c r="I21" s="71"/>
    </x:row>
    <x:row r="22">
      <x:c r="A22" s="71" t="str">
        <x:v>Secrets Manager</x:v>
      </x:c>
      <x:c r="B22" s="328" t="n">
        <x:v>0.4</x:v>
      </x:c>
      <x:c r="C22" s="71" t="str">
        <x:v>secret-month</x:v>
      </x:c>
      <x:c r="D22" s="71" t="str">
        <x:v>One WIF configuration secret</x:v>
      </x:c>
      <x:c r="E22" s="71"/>
      <x:c r="F22" s="71"/>
      <x:c r="G22" s="71"/>
      <x:c r="H22" s="71"/>
      <x:c r="I22" s="71"/>
    </x:row>
    <x:row r="23">
      <x:c r="A23" s="71" t="str">
        <x:v>CloudWatch Logs ingestion</x:v>
      </x:c>
      <x:c r="B23" s="328" t="n">
        <x:v>0.5</x:v>
      </x:c>
      <x:c r="C23" s="71" t="str">
        <x:v>GB</x:v>
      </x:c>
      <x:c r="D23" s="71" t="str">
        <x:v>Standard logs, first tier</x:v>
      </x:c>
      <x:c r="E23" s="71"/>
      <x:c r="F23" s="71"/>
      <x:c r="G23" s="71"/>
      <x:c r="H23" s="71"/>
      <x:c r="I23" s="71"/>
    </x:row>
    <x:row r="24">
      <x:c r="A24" s="71" t="str">
        <x:v>CloudWatch archived logs</x:v>
      </x:c>
      <x:c r="B24" s="328" t="n">
        <x:v>0.03</x:v>
      </x:c>
      <x:c r="C24" s="71" t="str">
        <x:v>GB-month</x:v>
      </x:c>
      <x:c r="D24" s="71" t="str">
        <x:v>Estimated standard archive rate</x:v>
      </x:c>
      <x:c r="E24" s="71"/>
      <x:c r="F24" s="71"/>
      <x:c r="G24" s="71"/>
      <x:c r="H24" s="71"/>
      <x:c r="I24" s="71"/>
    </x:row>
    <x:row r="25">
      <x:c r="A25" s="71" t="str">
        <x:v>AWS KMS requests</x:v>
      </x:c>
      <x:c r="B25" s="328" t="n">
        <x:v>0.03</x:v>
      </x:c>
      <x:c r="C25" s="71" t="str">
        <x:v>10K requests</x:v>
      </x:c>
      <x:c r="D25" s="71" t="str">
        <x:v>AWS-managed key has no key-month fee</x:v>
      </x:c>
      <x:c r="E25" s="71"/>
      <x:c r="F25" s="71"/>
      <x:c r="G25" s="71"/>
      <x:c r="H25" s="71"/>
      <x:c r="I25" s="71"/>
    </x:row>
    <x:row r="26">
      <x:c r="A26" s="71" t="str">
        <x:v>Internet data transfer out</x:v>
      </x:c>
      <x:c r="B26" s="328" t="n">
        <x:v>0.09</x:v>
      </x:c>
      <x:c r="C26" s="71" t="str">
        <x:v>GB</x:v>
      </x:c>
      <x:c r="D26" s="71" t="str">
        <x:v>First paid tier; free allowance excluded</x:v>
      </x:c>
      <x:c r="E26" s="71"/>
      <x:c r="F26" s="71"/>
      <x:c r="G26" s="71"/>
      <x:c r="H26" s="71"/>
      <x:c r="I26" s="71"/>
    </x:row>
    <x:row r="27">
      <x:c r="A27" s="71"/>
      <x:c r="B27" s="71"/>
      <x:c r="C27" s="71"/>
      <x:c r="D27" s="71"/>
      <x:c r="E27" s="71"/>
      <x:c r="F27" s="71"/>
      <x:c r="G27" s="71"/>
      <x:c r="H27" s="71"/>
      <x:c r="I27" s="71"/>
    </x:row>
    <x:row r="28" ht="22" customHeight="1">
      <x:c r="A28" s="72" t="str">
        <x:v>Monthly infrastructure calculation</x:v>
      </x:c>
      <x:c r="B28" s="72" t="str">
        <x:v>Monthly infrastructure calculation</x:v>
      </x:c>
      <x:c r="C28" s="72" t="str">
        <x:v>Monthly infrastructure calculation</x:v>
      </x:c>
      <x:c r="D28" s="72" t="str">
        <x:v>Monthly infrastructure calculation</x:v>
      </x:c>
      <x:c r="E28" s="72" t="str">
        <x:v>Monthly infrastructure calculation</x:v>
      </x:c>
      <x:c r="F28" s="72" t="str">
        <x:v>Monthly infrastructure calculation</x:v>
      </x:c>
      <x:c r="G28" s="72" t="str">
        <x:v>Monthly infrastructure calculation</x:v>
      </x:c>
      <x:c r="H28" s="72" t="str">
        <x:v>Monthly infrastructure calculation</x:v>
      </x:c>
      <x:c r="I28" s="72" t="str">
        <x:v>Monthly infrastructure calculation</x:v>
      </x:c>
    </x:row>
    <x:row r="29">
      <x:c r="A29" s="44" t="str">
        <x:v>Agent</x:v>
      </x:c>
      <x:c r="B29" s="44" t="str">
        <x:v>Service / meter</x:v>
      </x:c>
      <x:c r="C29" s="44" t="str">
        <x:v>Volume driver</x:v>
      </x:c>
      <x:c r="D29" s="44" t="str">
        <x:v>Monthly volume</x:v>
      </x:c>
      <x:c r="E29" s="44" t="str">
        <x:v>Usage per driver</x:v>
      </x:c>
      <x:c r="F29" s="44" t="str">
        <x:v>Billable usage</x:v>
      </x:c>
      <x:c r="G29" s="44" t="str">
        <x:v>Rate</x:v>
      </x:c>
      <x:c r="H29" s="44" t="str">
        <x:v>Monthly cost</x:v>
      </x:c>
      <x:c r="I29" s="44" t="str">
        <x:v>Notes</x:v>
      </x:c>
    </x:row>
    <x:row r="30">
      <x:c r="A30" s="73" t="str">
        <x:v>Download Agent</x:v>
      </x:c>
      <x:c r="B30" s="73" t="str">
        <x:v>AgentCore Runtime CPU</x:v>
      </x:c>
      <x:c r="C30" s="73" t="str">
        <x:v>reports</x:v>
      </x:c>
      <x:c r="D30" s="329" t="n">
        <x:f>'Assumptions'!$B$10</x:f>
        <x:v>240</x:v>
      </x:c>
      <x:c r="E30" s="329" t="n">
        <x:f>'Assumptions'!$B$34/3600</x:f>
        <x:v>0.05</x:v>
      </x:c>
      <x:c r="F30" s="329" t="n">
        <x:f>D30*E30</x:f>
        <x:v>12</x:v>
      </x:c>
      <x:c r="G30" s="330" t="n">
        <x:f>$B$6</x:f>
        <x:v>0.0895</x:v>
      </x:c>
      <x:c r="H30" s="324" t="n">
        <x:f>F30*G30</x:f>
        <x:v>1.0739999999999998</x:v>
      </x:c>
      <x:c r="I30" s="73" t="str">
        <x:v>1 vCPU active</x:v>
      </x:c>
    </x:row>
    <x:row r="31">
      <x:c r="A31" s="73" t="str">
        <x:v>Download Agent</x:v>
      </x:c>
      <x:c r="B31" s="73" t="str">
        <x:v>AgentCore Runtime memory</x:v>
      </x:c>
      <x:c r="C31" s="73" t="str">
        <x:v>reports</x:v>
      </x:c>
      <x:c r="D31" s="329" t="n">
        <x:f>'Assumptions'!$B$10</x:f>
        <x:v>240</x:v>
      </x:c>
      <x:c r="E31" s="329" t="n">
        <x:f>'Assumptions'!$B$35*'Assumptions'!$B$36/3600</x:f>
        <x:v>0.2</x:v>
      </x:c>
      <x:c r="F31" s="329" t="n">
        <x:f>D31*E31</x:f>
        <x:v>48</x:v>
      </x:c>
      <x:c r="G31" s="330" t="n">
        <x:f>$B$7</x:f>
        <x:v>0.00945</x:v>
      </x:c>
      <x:c r="H31" s="324" t="n">
        <x:f>F31*G31</x:f>
        <x:v>0.4536</x:v>
      </x:c>
      <x:c r="I31" s="73" t="str">
        <x:v>GB-hours</x:v>
      </x:c>
    </x:row>
    <x:row r="32">
      <x:c r="A32" s="73" t="str">
        <x:v>Download Agent</x:v>
      </x:c>
      <x:c r="B32" s="73" t="str">
        <x:v>AgentCore Browser CPU</x:v>
      </x:c>
      <x:c r="C32" s="73" t="str">
        <x:v>reports</x:v>
      </x:c>
      <x:c r="D32" s="329" t="n">
        <x:f>'Assumptions'!$B$10</x:f>
        <x:v>240</x:v>
      </x:c>
      <x:c r="E32" s="329" t="n">
        <x:f>'Assumptions'!$B$37*'Assumptions'!$B$38*'Assumptions'!$B$39/3600</x:f>
        <x:v>0.01</x:v>
      </x:c>
      <x:c r="F32" s="329" t="n">
        <x:f>D32*E32</x:f>
        <x:v>2.4</x:v>
      </x:c>
      <x:c r="G32" s="330" t="n">
        <x:f>$B$8</x:f>
        <x:v>0.0895</x:v>
      </x:c>
      <x:c r="H32" s="324" t="n">
        <x:f>F32*G32</x:f>
        <x:v>0.2148</x:v>
      </x:c>
      <x:c r="I32" s="73" t="str">
        <x:v>30% fallback × 2 vCPU</x:v>
      </x:c>
    </x:row>
    <x:row r="33">
      <x:c r="A33" s="73" t="str">
        <x:v>Download Agent</x:v>
      </x:c>
      <x:c r="B33" s="73" t="str">
        <x:v>AgentCore Browser memory</x:v>
      </x:c>
      <x:c r="C33" s="73" t="str">
        <x:v>reports</x:v>
      </x:c>
      <x:c r="D33" s="329" t="n">
        <x:f>'Assumptions'!$B$10</x:f>
        <x:v>240</x:v>
      </x:c>
      <x:c r="E33" s="329" t="n">
        <x:f>'Assumptions'!$B$37*'Assumptions'!$B$40*'Assumptions'!$B$41/3600</x:f>
        <x:v>0.08</x:v>
      </x:c>
      <x:c r="F33" s="329" t="n">
        <x:f>D33*E33</x:f>
        <x:v>19.2</x:v>
      </x:c>
      <x:c r="G33" s="330" t="n">
        <x:f>$B$9</x:f>
        <x:v>0.00945</x:v>
      </x:c>
      <x:c r="H33" s="324" t="n">
        <x:f>F33*G33</x:f>
        <x:v>0.18144</x:v>
      </x:c>
      <x:c r="I33" s="73" t="str">
        <x:v>30% fallback × 4 GB</x:v>
      </x:c>
    </x:row>
    <x:row r="34">
      <x:c r="A34" s="73" t="str">
        <x:v>PageIndex Agent</x:v>
      </x:c>
      <x:c r="B34" s="73" t="str">
        <x:v>AgentCore Runtime CPU</x:v>
      </x:c>
      <x:c r="C34" s="73" t="str">
        <x:v>reports</x:v>
      </x:c>
      <x:c r="D34" s="329" t="n">
        <x:f>'Assumptions'!$B$10</x:f>
        <x:v>240</x:v>
      </x:c>
      <x:c r="E34" s="329" t="n">
        <x:f>'Assumptions'!$B$42/3600</x:f>
        <x:v>0.08333333333333333</x:v>
      </x:c>
      <x:c r="F34" s="329" t="n">
        <x:f>D34*E34</x:f>
        <x:v>20</x:v>
      </x:c>
      <x:c r="G34" s="330" t="n">
        <x:f>$B$6</x:f>
        <x:v>0.0895</x:v>
      </x:c>
      <x:c r="H34" s="324" t="n">
        <x:f>F34*G34</x:f>
        <x:v>1.79</x:v>
      </x:c>
      <x:c r="I34" s="73" t="str">
        <x:v>1 vCPU active</x:v>
      </x:c>
    </x:row>
    <x:row r="35">
      <x:c r="A35" s="73" t="str">
        <x:v>PageIndex Agent</x:v>
      </x:c>
      <x:c r="B35" s="73" t="str">
        <x:v>AgentCore Runtime memory</x:v>
      </x:c>
      <x:c r="C35" s="73" t="str">
        <x:v>reports</x:v>
      </x:c>
      <x:c r="D35" s="329" t="n">
        <x:f>'Assumptions'!$B$10</x:f>
        <x:v>240</x:v>
      </x:c>
      <x:c r="E35" s="329" t="n">
        <x:f>'Assumptions'!$B$43*'Assumptions'!$B$44/3600</x:f>
        <x:v>0.3333333333333333</x:v>
      </x:c>
      <x:c r="F35" s="329" t="n">
        <x:f>D35*E35</x:f>
        <x:v>80</x:v>
      </x:c>
      <x:c r="G35" s="330" t="n">
        <x:f>$B$7</x:f>
        <x:v>0.00945</x:v>
      </x:c>
      <x:c r="H35" s="324" t="n">
        <x:f>F35*G35</x:f>
        <x:v>0.756</x:v>
      </x:c>
      <x:c r="I35" s="73" t="str">
        <x:v>2 GB working set</x:v>
      </x:c>
    </x:row>
    <x:row r="36">
      <x:c r="A36" s="73" t="str">
        <x:v>Answering Agent</x:v>
      </x:c>
      <x:c r="B36" s="73" t="str">
        <x:v>AgentCore Runtime CPU</x:v>
      </x:c>
      <x:c r="C36" s="73" t="str">
        <x:v>questions</x:v>
      </x:c>
      <x:c r="D36" s="329" t="n">
        <x:f>'Assumptions'!$B$12</x:f>
        <x:v>1000</x:v>
      </x:c>
      <x:c r="E36" s="329" t="n">
        <x:f>'Assumptions'!$B$45/3600</x:f>
        <x:v>0.008333333333333333</x:v>
      </x:c>
      <x:c r="F36" s="329" t="n">
        <x:f>D36*E36</x:f>
        <x:v>8.333333333333334</x:v>
      </x:c>
      <x:c r="G36" s="330" t="n">
        <x:f>$B$6</x:f>
        <x:v>0.0895</x:v>
      </x:c>
      <x:c r="H36" s="324" t="n">
        <x:f>F36*G36</x:f>
        <x:v>0.7458333333333333</x:v>
      </x:c>
      <x:c r="I36" s="73" t="str">
        <x:v>1 vCPU active</x:v>
      </x:c>
    </x:row>
    <x:row r="37">
      <x:c r="A37" s="73" t="str">
        <x:v>Answering Agent</x:v>
      </x:c>
      <x:c r="B37" s="73" t="str">
        <x:v>AgentCore Runtime memory</x:v>
      </x:c>
      <x:c r="C37" s="73" t="str">
        <x:v>questions</x:v>
      </x:c>
      <x:c r="D37" s="329" t="n">
        <x:f>'Assumptions'!$B$12</x:f>
        <x:v>1000</x:v>
      </x:c>
      <x:c r="E37" s="329" t="n">
        <x:f>'Assumptions'!$B$46*'Assumptions'!$B$47/3600</x:f>
        <x:v>0.03333333333333333</x:v>
      </x:c>
      <x:c r="F37" s="329" t="n">
        <x:f>D37*E37</x:f>
        <x:v>33.333333333333336</x:v>
      </x:c>
      <x:c r="G37" s="330" t="n">
        <x:f>$B$7</x:f>
        <x:v>0.00945</x:v>
      </x:c>
      <x:c r="H37" s="324" t="n">
        <x:f>F37*G37</x:f>
        <x:v>0.315</x:v>
      </x:c>
      <x:c r="I37" s="73" t="str">
        <x:v>1 GB working set</x:v>
      </x:c>
    </x:row>
    <x:row r="38">
      <x:c r="A38" s="73" t="str">
        <x:v>Download Agent</x:v>
      </x:c>
      <x:c r="B38" s="73" t="str">
        <x:v>Vertex Lambda ARM compute</x:v>
      </x:c>
      <x:c r="C38" s="73" t="str">
        <x:v>Vertex calls</x:v>
      </x:c>
      <x:c r="D38" s="329" t="n">
        <x:f>'Model Cost'!$D$16+'Model Cost'!$D$17</x:f>
        <x:v>1460</x:v>
      </x:c>
      <x:c r="E38" s="329" t="n">
        <x:f>'Assumptions'!$B$48*'Assumptions'!$B$49</x:f>
        <x:v>2.5</x:v>
      </x:c>
      <x:c r="F38" s="329" t="n">
        <x:f>D38*E38</x:f>
        <x:v>3650</x:v>
      </x:c>
      <x:c r="G38" s="330" t="n">
        <x:f>$B$10</x:f>
        <x:v>0.0000133334</x:v>
      </x:c>
      <x:c r="H38" s="324" t="n">
        <x:f>F38*G38</x:f>
        <x:v>0.04866691</x:v>
      </x:c>
      <x:c r="I38" s="73" t="str">
        <x:v>512 MB × 5 sec</x:v>
      </x:c>
    </x:row>
    <x:row r="39">
      <x:c r="A39" s="73" t="str">
        <x:v>Download Agent</x:v>
      </x:c>
      <x:c r="B39" s="73" t="str">
        <x:v>Vertex Lambda requests</x:v>
      </x:c>
      <x:c r="C39" s="73" t="str">
        <x:v>Vertex calls</x:v>
      </x:c>
      <x:c r="D39" s="329" t="n">
        <x:f>'Model Cost'!$D$16+'Model Cost'!$D$17</x:f>
        <x:v>1460</x:v>
      </x:c>
      <x:c r="E39" s="329" t="n">
        <x:f>1/1000000</x:f>
        <x:v>0.000001</x:v>
      </x:c>
      <x:c r="F39" s="329" t="n">
        <x:f>D39*E39</x:f>
        <x:v>0.00146</x:v>
      </x:c>
      <x:c r="G39" s="330" t="n">
        <x:f>$B$11</x:f>
        <x:v>0.2</x:v>
      </x:c>
      <x:c r="H39" s="324" t="n">
        <x:f>F39*G39</x:f>
        <x:v>0.000292</x:v>
      </x:c>
      <x:c r="I39" s="73" t="str">
        <x:v>RequestResponse invokes</x:v>
      </x:c>
    </x:row>
    <x:row r="40">
      <x:c r="A40" s="73" t="str">
        <x:v>Download Agent</x:v>
      </x:c>
      <x:c r="B40" s="73" t="str">
        <x:v>AgentCore Web Search fallback</x:v>
      </x:c>
      <x:c r="C40" s="73" t="str">
        <x:v>Vertex calls</x:v>
      </x:c>
      <x:c r="D40" s="329" t="n">
        <x:f>'Model Cost'!$D$16+'Model Cost'!$D$17</x:f>
        <x:v>1460</x:v>
      </x:c>
      <x:c r="E40" s="329" t="n">
        <x:f>'Assumptions'!$B$50/1000</x:f>
        <x:v>0.00005</x:v>
      </x:c>
      <x:c r="F40" s="329" t="n">
        <x:f>D40*E40</x:f>
        <x:v>0.07300000000000001</x:v>
      </x:c>
      <x:c r="G40" s="330" t="n">
        <x:f>$B$12</x:f>
        <x:v>7</x:v>
      </x:c>
      <x:c r="H40" s="324" t="n">
        <x:f>F40*G40</x:f>
        <x:v>0.5110000000000001</x:v>
      </x:c>
      <x:c r="I40" s="73" t="str">
        <x:v>5% fallback</x:v>
      </x:c>
    </x:row>
    <x:row r="41">
      <x:c r="A41" s="73" t="str">
        <x:v>Download Agent</x:v>
      </x:c>
      <x:c r="B41" s="73" t="str">
        <x:v>AgentCore Gateway invokes</x:v>
      </x:c>
      <x:c r="C41" s="73" t="str">
        <x:v>Vertex calls</x:v>
      </x:c>
      <x:c r="D41" s="329" t="n">
        <x:f>'Model Cost'!$D$16+'Model Cost'!$D$17</x:f>
        <x:v>1460</x:v>
      </x:c>
      <x:c r="E41" s="329" t="n">
        <x:f>'Assumptions'!$B$50/1000</x:f>
        <x:v>0.00005</x:v>
      </x:c>
      <x:c r="F41" s="329" t="n">
        <x:f>D41*E41</x:f>
        <x:v>0.07300000000000001</x:v>
      </x:c>
      <x:c r="G41" s="330" t="n">
        <x:f>$B$13</x:f>
        <x:v>0.005</x:v>
      </x:c>
      <x:c r="H41" s="324" t="n">
        <x:f>F41*G41</x:f>
        <x:v>0.00036500000000000004</x:v>
      </x:c>
      <x:c r="I41" s="73" t="str">
        <x:v>5% fallback</x:v>
      </x:c>
    </x:row>
    <x:row r="42">
      <x:c r="A42" s="73" t="str">
        <x:v>Shared</x:v>
      </x:c>
      <x:c r="B42" s="73" t="str">
        <x:v>S3 Standard storage</x:v>
      </x:c>
      <x:c r="C42" s="73" t="str">
        <x:v>opening + half-month new</x:v>
      </x:c>
      <x:c r="D42" s="329" t="n">
        <x:v>1</x:v>
      </x:c>
      <x:c r="E42" s="329" t="n">
        <x:f>('Assumptions'!$B$15+'Assumptions'!$B$10*'Assumptions'!$B$14/1024/2)*'Assumptions'!$B$16</x:f>
        <x:v>56.28906250000001</x:v>
      </x:c>
      <x:c r="F42" s="329" t="n">
        <x:f>D42*E42</x:f>
        <x:v>56.28906250000001</x:v>
      </x:c>
      <x:c r="G42" s="330" t="n">
        <x:f>$B$14</x:f>
        <x:v>0.023</x:v>
      </x:c>
      <x:c r="H42" s="324" t="n">
        <x:f>F42*G42</x:f>
        <x:v>1.2946484375000002</x:v>
      </x:c>
      <x:c r="I42" s="73" t="str">
        <x:v>Includes 10% versioning overhead</x:v>
      </x:c>
    </x:row>
    <x:row r="43">
      <x:c r="A43" s="73" t="str">
        <x:v>Shared</x:v>
      </x:c>
      <x:c r="B43" s="73" t="str">
        <x:v>S3 PUT/LIST requests</x:v>
      </x:c>
      <x:c r="C43" s="73" t="str">
        <x:v>reports</x:v>
      </x:c>
      <x:c r="D43" s="329" t="n">
        <x:f>'Assumptions'!$B$10</x:f>
        <x:v>240</x:v>
      </x:c>
      <x:c r="E43" s="329" t="n">
        <x:f>2/1000</x:f>
        <x:v>0.002</x:v>
      </x:c>
      <x:c r="F43" s="329" t="n">
        <x:f>D43*E43</x:f>
        <x:v>0.48</x:v>
      </x:c>
      <x:c r="G43" s="330" t="n">
        <x:f>$B$15</x:f>
        <x:v>0.005</x:v>
      </x:c>
      <x:c r="H43" s="324" t="n">
        <x:f>F43*G43</x:f>
        <x:v>0.0024</x:v>
      </x:c>
      <x:c r="I43" s="73" t="str">
        <x:v>Download + incremental index writes</x:v>
      </x:c>
    </x:row>
    <x:row r="44">
      <x:c r="A44" s="73" t="str">
        <x:v>Shared</x:v>
      </x:c>
      <x:c r="B44" s="73" t="str">
        <x:v>S3 GET requests</x:v>
      </x:c>
      <x:c r="C44" s="73" t="str">
        <x:v>reports + questions</x:v>
      </x:c>
      <x:c r="D44" s="329" t="n">
        <x:v>1</x:v>
      </x:c>
      <x:c r="E44" s="329" t="n">
        <x:f>('Assumptions'!$B$10*6+'Assumptions'!$B$12*0.2)/1000</x:f>
        <x:v>1.64</x:v>
      </x:c>
      <x:c r="F44" s="329" t="n">
        <x:f>D44*E44</x:f>
        <x:v>1.64</x:v>
      </x:c>
      <x:c r="G44" s="330" t="n">
        <x:f>$B$16</x:f>
        <x:v>0.0004</x:v>
      </x:c>
      <x:c r="H44" s="324" t="n">
        <x:f>F44*G44</x:f>
        <x:v>0.000656</x:v>
      </x:c>
      <x:c r="I44" s="73" t="str">
        <x:v>6/report + 0.2/question</x:v>
      </x:c>
    </x:row>
    <x:row r="45">
      <x:c r="A45" s="73" t="str">
        <x:v>Download Agent</x:v>
      </x:c>
      <x:c r="B45" s="73" t="str">
        <x:v>DynamoDB writes</x:v>
      </x:c>
      <x:c r="C45" s="73" t="str">
        <x:v>reports</x:v>
      </x:c>
      <x:c r="D45" s="329" t="n">
        <x:f>'Assumptions'!$B$10</x:f>
        <x:v>240</x:v>
      </x:c>
      <x:c r="E45" s="329" t="n">
        <x:f>1/1000000</x:f>
        <x:v>0.000001</x:v>
      </x:c>
      <x:c r="F45" s="329" t="n">
        <x:f>D45*E45</x:f>
        <x:v>0.00023999999999999998</x:v>
      </x:c>
      <x:c r="G45" s="330" t="n">
        <x:f>$B$17</x:f>
        <x:v>0.625</x:v>
      </x:c>
      <x:c r="H45" s="324" t="n">
        <x:f>F45*G45</x:f>
        <x:v>0.00015</x:v>
      </x:c>
      <x:c r="I45" s="73" t="str">
        <x:v>One provenance write/report</x:v>
      </x:c>
    </x:row>
    <x:row r="46">
      <x:c r="A46" s="73" t="str">
        <x:v>Download Agent</x:v>
      </x:c>
      <x:c r="B46" s="73" t="str">
        <x:v>DynamoDB reads</x:v>
      </x:c>
      <x:c r="C46" s="73" t="str">
        <x:v>reports</x:v>
      </x:c>
      <x:c r="D46" s="329" t="n">
        <x:f>'Assumptions'!$B$10</x:f>
        <x:v>240</x:v>
      </x:c>
      <x:c r="E46" s="329" t="n">
        <x:f>2/1000000</x:f>
        <x:v>0.000002</x:v>
      </x:c>
      <x:c r="F46" s="329" t="n">
        <x:f>D46*E46</x:f>
        <x:v>0.00047999999999999996</x:v>
      </x:c>
      <x:c r="G46" s="330" t="n">
        <x:f>$B$18</x:f>
        <x:v>0.125</x:v>
      </x:c>
      <x:c r="H46" s="324" t="n">
        <x:f>F46*G46</x:f>
        <x:v>0.000059999999999999995</x:v>
      </x:c>
      <x:c r="I46" s="73" t="str">
        <x:v>Two reads/report</x:v>
      </x:c>
    </x:row>
    <x:row r="47">
      <x:c r="A47" s="73" t="str">
        <x:v>Download Agent</x:v>
      </x:c>
      <x:c r="B47" s="73" t="str">
        <x:v>DynamoDB storage</x:v>
      </x:c>
      <x:c r="C47" s="73" t="str">
        <x:v>existing table</x:v>
      </x:c>
      <x:c r="D47" s="329" t="n">
        <x:v>1</x:v>
      </x:c>
      <x:c r="E47" s="329" t="n">
        <x:f>'Assumptions'!$B$18</x:f>
        <x:v>0.1</x:v>
      </x:c>
      <x:c r="F47" s="329" t="n">
        <x:f>D47*E47</x:f>
        <x:v>0.1</x:v>
      </x:c>
      <x:c r="G47" s="330" t="n">
        <x:f>$B$19</x:f>
        <x:v>0.25</x:v>
      </x:c>
      <x:c r="H47" s="324" t="n">
        <x:f>F47*G47</x:f>
        <x:v>0.025</x:v>
      </x:c>
      <x:c r="I47" s="73" t="str">
        <x:v>Standard table</x:v>
      </x:c>
    </x:row>
    <x:row r="48">
      <x:c r="A48" s="73" t="str">
        <x:v>Download Agent</x:v>
      </x:c>
      <x:c r="B48" s="73" t="str">
        <x:v>DynamoDB PITR</x:v>
      </x:c>
      <x:c r="C48" s="73" t="str">
        <x:v>existing table</x:v>
      </x:c>
      <x:c r="D48" s="329" t="n">
        <x:v>1</x:v>
      </x:c>
      <x:c r="E48" s="329" t="n">
        <x:f>'Assumptions'!$B$18</x:f>
        <x:v>0.1</x:v>
      </x:c>
      <x:c r="F48" s="329" t="n">
        <x:f>D48*E48</x:f>
        <x:v>0.1</x:v>
      </x:c>
      <x:c r="G48" s="330" t="n">
        <x:f>$B$20</x:f>
        <x:v>0.2</x:v>
      </x:c>
      <x:c r="H48" s="324" t="n">
        <x:f>F48*G48</x:f>
        <x:v>0.020000000000000004</x:v>
      </x:c>
      <x:c r="I48" s="73" t="str">
        <x:v>Continuous backup</x:v>
      </x:c>
    </x:row>
    <x:row r="49">
      <x:c r="A49" s="73" t="str">
        <x:v>Shared</x:v>
      </x:c>
      <x:c r="B49" s="73" t="str">
        <x:v>ECR private storage</x:v>
      </x:c>
      <x:c r="C49" s="73" t="str">
        <x:v>stored images</x:v>
      </x:c>
      <x:c r="D49" s="329" t="n">
        <x:v>1</x:v>
      </x:c>
      <x:c r="E49" s="329" t="n">
        <x:f>'Assumptions'!$B$17</x:f>
        <x:v>3</x:v>
      </x:c>
      <x:c r="F49" s="329" t="n">
        <x:f>D49*E49</x:f>
        <x:v>3</x:v>
      </x:c>
      <x:c r="G49" s="330" t="n">
        <x:f>$B$21</x:f>
        <x:v>0.1</x:v>
      </x:c>
      <x:c r="H49" s="324" t="n">
        <x:f>F49*G49</x:f>
        <x:v>0.30000000000000004</x:v>
      </x:c>
      <x:c r="I49" s="73" t="str">
        <x:v>Four repositories combined</x:v>
      </x:c>
    </x:row>
    <x:row r="50">
      <x:c r="A50" s="73" t="str">
        <x:v>Download Agent</x:v>
      </x:c>
      <x:c r="B50" s="73" t="str">
        <x:v>Secrets Manager</x:v>
      </x:c>
      <x:c r="C50" s="73" t="str">
        <x:v>WIF secret</x:v>
      </x:c>
      <x:c r="D50" s="329" t="n">
        <x:v>1</x:v>
      </x:c>
      <x:c r="E50" s="329" t="n">
        <x:v>1</x:v>
      </x:c>
      <x:c r="F50" s="329" t="n">
        <x:v>1</x:v>
      </x:c>
      <x:c r="G50" s="330" t="n">
        <x:f>$B$22</x:f>
        <x:v>0.4</x:v>
      </x:c>
      <x:c r="H50" s="324" t="n">
        <x:f>F50*G50</x:f>
        <x:v>0.4</x:v>
      </x:c>
      <x:c r="I50" s="73" t="str">
        <x:v>One secret-month</x:v>
      </x:c>
    </x:row>
    <x:row r="51">
      <x:c r="A51" s="73" t="str">
        <x:v>Download Agent</x:v>
      </x:c>
      <x:c r="B51" s="73" t="str">
        <x:v>CloudWatch Logs ingestion</x:v>
      </x:c>
      <x:c r="C51" s="73" t="str">
        <x:v>reports + Vertex calls</x:v>
      </x:c>
      <x:c r="D51" s="329" t="n">
        <x:v>1</x:v>
      </x:c>
      <x:c r="E51" s="329" t="n">
        <x:f>('Assumptions'!$B$10*'Assumptions'!$B$51+('Model Cost'!$D$16+'Model Cost'!$D$17)*'Assumptions'!$B$54)/1024</x:f>
        <x:v>1.314453125</x:v>
      </x:c>
      <x:c r="F51" s="329" t="n">
        <x:f>D51*E51</x:f>
        <x:v>1.314453125</x:v>
      </x:c>
      <x:c r="G51" s="330" t="n">
        <x:f>$B$23</x:f>
        <x:v>0.5</x:v>
      </x:c>
      <x:c r="H51" s="324" t="n">
        <x:f>F51*G51</x:f>
        <x:v>0.6572265625</x:v>
      </x:c>
      <x:c r="I51" s="73" t="str">
        <x:v>Download + Lambda logs</x:v>
      </x:c>
    </x:row>
    <x:row r="52">
      <x:c r="A52" s="73" t="str">
        <x:v>PageIndex Agent</x:v>
      </x:c>
      <x:c r="B52" s="73" t="str">
        <x:v>CloudWatch Logs ingestion</x:v>
      </x:c>
      <x:c r="C52" s="73" t="str">
        <x:v>reports</x:v>
      </x:c>
      <x:c r="D52" s="329" t="n">
        <x:f>'Assumptions'!$B$10</x:f>
        <x:v>240</x:v>
      </x:c>
      <x:c r="E52" s="329" t="n">
        <x:f>'Assumptions'!$B$52/1024</x:f>
        <x:v>0.0029296875</x:v>
      </x:c>
      <x:c r="F52" s="329" t="n">
        <x:f>D52*E52</x:f>
        <x:v>0.703125</x:v>
      </x:c>
      <x:c r="G52" s="330" t="n">
        <x:f>$B$23</x:f>
        <x:v>0.5</x:v>
      </x:c>
      <x:c r="H52" s="324" t="n">
        <x:f>F52*G52</x:f>
        <x:v>0.3515625</x:v>
      </x:c>
      <x:c r="I52" s="73" t="str">
        <x:v>Index logs</x:v>
      </x:c>
    </x:row>
    <x:row r="53">
      <x:c r="A53" s="73" t="str">
        <x:v>Answering Agent</x:v>
      </x:c>
      <x:c r="B53" s="73" t="str">
        <x:v>CloudWatch Logs ingestion</x:v>
      </x:c>
      <x:c r="C53" s="73" t="str">
        <x:v>questions</x:v>
      </x:c>
      <x:c r="D53" s="329" t="n">
        <x:f>'Assumptions'!$B$12</x:f>
        <x:v>1000</x:v>
      </x:c>
      <x:c r="E53" s="329" t="n">
        <x:f>'Assumptions'!$B$53/1024</x:f>
        <x:v>0.00048828125</x:v>
      </x:c>
      <x:c r="F53" s="329" t="n">
        <x:f>D53*E53</x:f>
        <x:v>0.48828125</x:v>
      </x:c>
      <x:c r="G53" s="330" t="n">
        <x:f>$B$23</x:f>
        <x:v>0.5</x:v>
      </x:c>
      <x:c r="H53" s="324" t="n">
        <x:f>F53*G53</x:f>
        <x:v>0.244140625</x:v>
      </x:c>
      <x:c r="I53" s="73" t="str">
        <x:v>ReAct logs</x:v>
      </x:c>
    </x:row>
    <x:row r="54">
      <x:c r="A54" s="73" t="str">
        <x:v>Shared</x:v>
      </x:c>
      <x:c r="B54" s="73" t="str">
        <x:v>CloudWatch archived logs</x:v>
      </x:c>
      <x:c r="C54" s="73" t="str">
        <x:v>retained footprint</x:v>
      </x:c>
      <x:c r="D54" s="329" t="n">
        <x:v>1</x:v>
      </x:c>
      <x:c r="E54" s="329" t="n">
        <x:f>'Assumptions'!$B$55</x:f>
        <x:v>6</x:v>
      </x:c>
      <x:c r="F54" s="329" t="n">
        <x:f>D54*E54</x:f>
        <x:v>6</x:v>
      </x:c>
      <x:c r="G54" s="330" t="n">
        <x:f>$B$24</x:f>
        <x:v>0.03</x:v>
      </x:c>
      <x:c r="H54" s="324" t="n">
        <x:f>F54*G54</x:f>
        <x:v>0.18</x:v>
      </x:c>
      <x:c r="I54" s="73" t="str">
        <x:v>Across all log groups</x:v>
      </x:c>
    </x:row>
    <x:row r="55">
      <x:c r="A55" s="73" t="str">
        <x:v>Download Agent</x:v>
      </x:c>
      <x:c r="B55" s="73" t="str">
        <x:v>AWS KMS requests</x:v>
      </x:c>
      <x:c r="C55" s="73" t="str">
        <x:v>reports</x:v>
      </x:c>
      <x:c r="D55" s="329" t="n">
        <x:f>'Assumptions'!$B$10</x:f>
        <x:v>240</x:v>
      </x:c>
      <x:c r="E55" s="329" t="n">
        <x:f>7/10000</x:f>
        <x:v>0.0007</x:v>
      </x:c>
      <x:c r="F55" s="329" t="n">
        <x:f>D55*E55</x:f>
        <x:v>0.168</x:v>
      </x:c>
      <x:c r="G55" s="330" t="n">
        <x:f>$B$25</x:f>
        <x:v>0.03</x:v>
      </x:c>
      <x:c r="H55" s="324" t="n">
        <x:f>F55*G55</x:f>
        <x:v>0.00504</x:v>
      </x:c>
      <x:c r="I55" s="73" t="str">
        <x:v>S3 encrypt/decrypt request allowance</x:v>
      </x:c>
    </x:row>
    <x:row r="56">
      <x:c r="A56" s="73" t="str">
        <x:v>Download Agent</x:v>
      </x:c>
      <x:c r="B56" s="73" t="str">
        <x:v>AWS→GCP data transfer</x:v>
      </x:c>
      <x:c r="C56" s="73" t="str">
        <x:v>monthly egress</x:v>
      </x:c>
      <x:c r="D56" s="329" t="n">
        <x:v>1</x:v>
      </x:c>
      <x:c r="E56" s="329" t="n">
        <x:f>'Assumptions'!$B$56</x:f>
        <x:v>0.1</x:v>
      </x:c>
      <x:c r="F56" s="329" t="n">
        <x:f>D56*E56</x:f>
        <x:v>0.1</x:v>
      </x:c>
      <x:c r="G56" s="330" t="n">
        <x:f>$B$26</x:f>
        <x:v>0.09</x:v>
      </x:c>
      <x:c r="H56" s="324" t="n">
        <x:f>F56*G56</x:f>
        <x:v>0.009</x:v>
      </x:c>
      <x:c r="I56" s="73" t="str">
        <x:v>Vertex prompt/response traffic</x:v>
      </x:c>
    </x:row>
    <x:row r="57">
      <x:c r="A57" s="325" t="str">
        <x:v>TOTAL</x:v>
      </x:c>
      <x:c r="B57" s="325" t="str"/>
      <x:c r="C57" s="325" t="str"/>
      <x:c r="D57" s="325" t="str"/>
      <x:c r="E57" s="325" t="str"/>
      <x:c r="F57" s="325" t="str"/>
      <x:c r="G57" s="325" t="str"/>
      <x:c r="H57" s="327" t="n">
        <x:f>SUM(H30:H56)</x:f>
        <x:v>9.580881368333333</x:v>
      </x:c>
      <x:c r="I57" s="325" t="str"/>
    </x:row>
  </x:sheetData>
  <x:mergeCells>
    <x:mergeCell ref="A1:I1"/>
    <x:mergeCell ref="A2:I2"/>
    <x:mergeCell ref="A4:D4"/>
    <x:mergeCell ref="A28:I28"/>
  </x:mergeCells>
  <x:pageMargins left="0.7" right="0.7" top="0.75" bottom="0.75" header="0.3" footer="0.3"/>
  <x:legacyDrawing xmlns:r="http://schemas.openxmlformats.org/officeDocument/2006/relationships" r:id="R82e7f00b25944344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7" hidden="0" customWidth="1"/>
    <x:col min="3" max="3" width="17" hidden="0" customWidth="1"/>
    <x:col min="4" max="4" width="18" hidden="0" customWidth="1"/>
    <x:col min="5" max="5" width="17" hidden="0" customWidth="1"/>
    <x:col min="6" max="6" width="17" hidden="0" customWidth="1"/>
    <x:col min="7" max="7" width="18" hidden="0" customWidth="1"/>
    <x:col min="8" max="8" width="16" hidden="0" customWidth="1"/>
    <x:col min="9" max="9" width="16" hidden="0" customWidth="1"/>
    <x:col min="10" max="10" width="16" hidden="0" customWidth="1"/>
  </x:cols>
  <x:sheetData>
    <x:row r="1" ht="34" customHeight="1">
      <x:c r="A1" s="70" t="str">
        <x:v>Low / Base / High Monthly Sensitivity</x:v>
      </x:c>
      <x:c r="B1" s="70" t="str">
        <x:v>Low / Base / High Monthly Sensitivity</x:v>
      </x:c>
      <x:c r="C1" s="70" t="str">
        <x:v>Low / Base / High Monthly Sensitivity</x:v>
      </x:c>
      <x:c r="D1" s="70" t="str">
        <x:v>Low / Base / High Monthly Sensitivity</x:v>
      </x:c>
      <x:c r="E1" s="70" t="str">
        <x:v>Low / Base / High Monthly Sensitivity</x:v>
      </x:c>
      <x:c r="F1" s="70" t="str">
        <x:v>Low / Base / High Monthly Sensitivity</x:v>
      </x:c>
      <x:c r="G1" s="70" t="str">
        <x:v>Low / Base / High Monthly Sensitivity</x:v>
      </x:c>
      <x:c r="H1" s="70" t="str">
        <x:v>Low / Base / High Monthly Sensitivity</x:v>
      </x:c>
      <x:c r="I1" s="70" t="str">
        <x:v>Low / Base / High Monthly Sensitivity</x:v>
      </x:c>
      <x:c r="J1" s="70" t="str">
        <x:v>Low / Base / High Monthly Sensitivity</x:v>
      </x:c>
    </x:row>
    <x:row r="2" ht="30" customHeight="1">
      <x:c r="A2" s="41" t="str">
        <x:v>Scenarios flex workload and document length. Current Sonnet 5 promotional pricing is used; fixed shared infrastructure remains unchanged.</x:v>
      </x:c>
      <x:c r="B2" s="41" t="str">
        <x:v>Scenarios flex workload and document length. Current Sonnet 5 promotional pricing is used; fixed shared infrastructure remains unchanged.</x:v>
      </x:c>
      <x:c r="C2" s="41" t="str">
        <x:v>Scenarios flex workload and document length. Current Sonnet 5 promotional pricing is used; fixed shared infrastructure remains unchanged.</x:v>
      </x:c>
      <x:c r="D2" s="41" t="str">
        <x:v>Scenarios flex workload and document length. Current Sonnet 5 promotional pricing is used; fixed shared infrastructure remains unchanged.</x:v>
      </x:c>
      <x:c r="E2" s="41" t="str">
        <x:v>Scenarios flex workload and document length. Current Sonnet 5 promotional pricing is used; fixed shared infrastructure remains unchanged.</x:v>
      </x:c>
      <x:c r="F2" s="41" t="str">
        <x:v>Scenarios flex workload and document length. Current Sonnet 5 promotional pricing is used; fixed shared infrastructure remains unchanged.</x:v>
      </x:c>
      <x:c r="G2" s="41" t="str">
        <x:v>Scenarios flex workload and document length. Current Sonnet 5 promotional pricing is used; fixed shared infrastructure remains unchanged.</x:v>
      </x:c>
      <x:c r="H2" s="41" t="str">
        <x:v>Scenarios flex workload and document length. Current Sonnet 5 promotional pricing is used; fixed shared infrastructure remains unchanged.</x:v>
      </x:c>
      <x:c r="I2" s="41" t="str">
        <x:v>Scenarios flex workload and document length. Current Sonnet 5 promotional pricing is used; fixed shared infrastructure remains unchanged.</x:v>
      </x:c>
      <x:c r="J2" s="41" t="str">
        <x:v>Scenarios flex workload and document length. Current Sonnet 5 promotional pricing is used; fixed shared infrastructure remains unchanged.</x:v>
      </x:c>
    </x:row>
    <x:row r="3">
      <x:c r="A3" s="71"/>
      <x:c r="B3" s="71"/>
      <x:c r="C3" s="71"/>
      <x:c r="D3" s="71"/>
      <x:c r="E3" s="71"/>
      <x:c r="F3" s="71"/>
      <x:c r="G3" s="71"/>
      <x:c r="H3" s="71"/>
      <x:c r="I3" s="71"/>
      <x:c r="J3" s="71"/>
    </x:row>
    <x:row r="4" ht="22" customHeight="1">
      <x:c r="A4" s="72" t="str">
        <x:v>Scenario analysis</x:v>
      </x:c>
      <x:c r="B4" s="72" t="str">
        <x:v>Scenario analysis</x:v>
      </x:c>
      <x:c r="C4" s="72" t="str">
        <x:v>Scenario analysis</x:v>
      </x:c>
      <x:c r="D4" s="72" t="str">
        <x:v>Scenario analysis</x:v>
      </x:c>
      <x:c r="E4" s="72" t="str">
        <x:v>Scenario analysis</x:v>
      </x:c>
      <x:c r="F4" s="72" t="str">
        <x:v>Scenario analysis</x:v>
      </x:c>
      <x:c r="G4" s="72" t="str">
        <x:v>Scenario analysis</x:v>
      </x:c>
      <x:c r="H4" s="72" t="str">
        <x:v>Scenario analysis</x:v>
      </x:c>
      <x:c r="I4" s="72" t="str">
        <x:v>Scenario analysis</x:v>
      </x:c>
      <x:c r="J4" s="72" t="str">
        <x:v>Scenario analysis</x:v>
      </x:c>
    </x:row>
    <x:row r="5">
      <x:c r="A5" s="44" t="str">
        <x:v>Scenario</x:v>
      </x:c>
      <x:c r="B5" s="44" t="str">
        <x:v>Companies / month</x:v>
      </x:c>
      <x:c r="C5" s="44" t="str">
        <x:v>Reports / company</x:v>
      </x:c>
      <x:c r="D5" s="44" t="str">
        <x:v>Questions / company</x:v>
      </x:c>
      <x:c r="E5" s="44" t="str">
        <x:v>Avg pages / report</x:v>
      </x:c>
      <x:c r="F5" s="44" t="str">
        <x:v>Reports / month</x:v>
      </x:c>
      <x:c r="G5" s="44" t="str">
        <x:v>Questions / month</x:v>
      </x:c>
      <x:c r="H5" s="44" t="str">
        <x:v>Model cost</x:v>
      </x:c>
      <x:c r="I5" s="44" t="str">
        <x:v>Infrastructure</x:v>
      </x:c>
      <x:c r="J5" s="44" t="str">
        <x:v>All-in cost</x:v>
      </x:c>
    </x:row>
    <x:row r="6">
      <x:c r="A6" s="73" t="str">
        <x:v>Low</x:v>
      </x:c>
      <x:c r="B6" s="331" t="n">
        <x:v>10</x:v>
      </x:c>
      <x:c r="C6" s="331" t="n">
        <x:v>8</x:v>
      </x:c>
      <x:c r="D6" s="331" t="n">
        <x:v>25</x:v>
      </x:c>
      <x:c r="E6" s="331" t="n">
        <x:v>80</x:v>
      </x:c>
      <x:c r="F6" s="81" t="n">
        <x:f>B6*C6</x:f>
        <x:v>80</x:v>
      </x:c>
      <x:c r="G6" s="81" t="n">
        <x:f>B6*D6</x:f>
        <x:v>250</x:v>
      </x:c>
      <x:c r="H6" s="332" t="n">
        <x:f>(('Model Cost'!$L$14+'Model Cost'!$L$15+'Model Cost'!$L$16+'Model Cost'!$L$18)/'Assumptions'!$B$10)*F6+('Model Cost'!$L$17/'Assumptions'!$B$8)*B6+F6*((25000+E6*900)*'Model Cost'!$B$7/1000000+(2000+E6*90)*'Model Cost'!$C$7/1000000)+('Model Cost'!$L$20/'Assumptions'!$B$12)*G6</x:f>
        <x:v>86.72062600000001</x:v>
      </x:c>
      <x:c r="I6" s="332" t="n">
        <x:f>(SUMIF('Infra Cost'!$A$30:$A$56,"Download Agent",'Infra Cost'!$H$30:$H$56)/'Assumptions'!$B$10)*F6+(SUMIF('Infra Cost'!$A$30:$A$56,"PageIndex Agent",'Infra Cost'!$H$30:$H$56)/'Assumptions'!$B$10)*F6+(SUMIF('Infra Cost'!$A$30:$A$56,"Answering Agent",'Infra Cost'!$H$30:$H$56)/'Assumptions'!$B$12)*G6+SUMIF('Infra Cost'!$A$30:$A$56,"Shared",'Infra Cost'!$H$30:$H$56)</x:f>
        <x:v>4.270015584583334</x:v>
      </x:c>
      <x:c r="J6" s="332" t="n">
        <x:f>H6+I6</x:f>
        <x:v>90.99064158458334</x:v>
      </x:c>
    </x:row>
    <x:row r="7">
      <x:c r="A7" s="73" t="str">
        <x:v>Base</x:v>
      </x:c>
      <x:c r="B7" s="333" t="n">
        <x:f>'Assumptions'!$B$8</x:f>
        <x:v>20</x:v>
      </x:c>
      <x:c r="C7" s="333" t="n">
        <x:f>'Assumptions'!$B$9</x:f>
        <x:v>12</x:v>
      </x:c>
      <x:c r="D7" s="333" t="n">
        <x:f>'Assumptions'!$B$11</x:f>
        <x:v>50</x:v>
      </x:c>
      <x:c r="E7" s="333" t="n">
        <x:f>'Assumptions'!$B$13</x:f>
        <x:v>150</x:v>
      </x:c>
      <x:c r="F7" s="334" t="n">
        <x:f>B7*C7</x:f>
        <x:v>240</x:v>
      </x:c>
      <x:c r="G7" s="334" t="n">
        <x:f>B7*D7</x:f>
        <x:v>1000</x:v>
      </x:c>
      <x:c r="H7" s="335" t="n">
        <x:f>(('Model Cost'!$L$14+'Model Cost'!$L$15+'Model Cost'!$L$16+'Model Cost'!$L$18)/'Assumptions'!$B$10)*F7+('Model Cost'!$L$17/'Assumptions'!$B$8)*B7+F7*((25000+E7*900)*'Model Cost'!$B$7/1000000+(2000+E7*90)*'Model Cost'!$C$7/1000000)+('Model Cost'!$L$20/'Assumptions'!$B$12)*G7</x:f>
        <x:v>374.68872799999997</x:v>
      </x:c>
      <x:c r="I7" s="335" t="n">
        <x:f>(SUMIF('Infra Cost'!$A$30:$A$56,"Download Agent",'Infra Cost'!$H$30:$H$56)/'Assumptions'!$B$10)*F7+(SUMIF('Infra Cost'!$A$30:$A$56,"PageIndex Agent",'Infra Cost'!$H$30:$H$56)/'Assumptions'!$B$10)*F7+(SUMIF('Infra Cost'!$A$30:$A$56,"Answering Agent",'Infra Cost'!$H$30:$H$56)/'Assumptions'!$B$12)*G7+SUMIF('Infra Cost'!$A$30:$A$56,"Shared",'Infra Cost'!$H$30:$H$56)</x:f>
        <x:v>9.580881368333333</x:v>
      </x:c>
      <x:c r="J7" s="335" t="n">
        <x:f>H7+I7</x:f>
        <x:v>384.2696093683333</x:v>
      </x:c>
    </x:row>
    <x:row r="8">
      <x:c r="A8" s="78" t="str">
        <x:v>High</x:v>
      </x:c>
      <x:c r="B8" s="336" t="n">
        <x:v>50</x:v>
      </x:c>
      <x:c r="C8" s="336" t="n">
        <x:v>15</x:v>
      </x:c>
      <x:c r="D8" s="336" t="n">
        <x:v>100</x:v>
      </x:c>
      <x:c r="E8" s="336" t="n">
        <x:v>250</x:v>
      </x:c>
      <x:c r="F8" s="337" t="n">
        <x:f>B8*C8</x:f>
        <x:v>750</x:v>
      </x:c>
      <x:c r="G8" s="337" t="n">
        <x:f>B8*D8</x:f>
        <x:v>5000</x:v>
      </x:c>
      <x:c r="H8" s="338" t="n">
        <x:f>(('Model Cost'!$L$14+'Model Cost'!$L$15+'Model Cost'!$L$16+'Model Cost'!$L$18)/'Assumptions'!$B$10)*F8+('Model Cost'!$L$17/'Assumptions'!$B$8)*B8+F8*((25000+E8*900)*'Model Cost'!$B$7/1000000+(2000+E8*90)*'Model Cost'!$C$7/1000000)+('Model Cost'!$L$20/'Assumptions'!$B$12)*G8</x:f>
        <x:v>1823.3858375</x:v>
      </x:c>
      <x:c r="I8" s="338" t="n">
        <x:f>(SUMIF('Infra Cost'!$A$30:$A$56,"Download Agent",'Infra Cost'!$H$30:$H$56)/'Assumptions'!$B$10)*F8+(SUMIF('Infra Cost'!$A$30:$A$56,"PageIndex Agent",'Infra Cost'!$H$30:$H$56)/'Assumptions'!$B$10)*F8+(SUMIF('Infra Cost'!$A$30:$A$56,"Answering Agent",'Infra Cost'!$H$30:$H$56)/'Assumptions'!$B$12)*G8+SUMIF('Infra Cost'!$A$30:$A$56,"Shared",'Infra Cost'!$H$30:$H$56)</x:f>
        <x:v>28.609458518229168</x:v>
      </x:c>
      <x:c r="J8" s="338" t="n">
        <x:f>H8+I8</x:f>
        <x:v>1851.995296018229</x:v>
      </x:c>
    </x:row>
    <x:row r="9">
      <x:c r="A9" s="71"/>
      <x:c r="B9" s="71"/>
      <x:c r="C9" s="71"/>
      <x:c r="D9" s="71"/>
      <x:c r="E9" s="71"/>
      <x:c r="F9" s="71"/>
      <x:c r="G9" s="71"/>
      <x:c r="H9" s="71"/>
      <x:c r="I9" s="71"/>
      <x:c r="J9" s="71"/>
    </x:row>
    <x:row r="10">
      <x:c r="A10" s="71"/>
      <x:c r="B10" s="71"/>
      <x:c r="C10" s="71"/>
      <x:c r="D10" s="71"/>
      <x:c r="E10" s="71"/>
      <x:c r="F10" s="71"/>
      <x:c r="G10" s="71"/>
      <x:c r="H10" s="71"/>
      <x:c r="I10" s="71"/>
      <x:c r="J10" s="71"/>
    </x:row>
    <x:row r="11">
      <x:c r="A11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  <x:c r="B11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  <x:c r="C11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  <x:c r="D11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  <x:c r="E11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  <x:c r="F11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  <x:c r="G11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  <x:c r="H11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  <x:c r="I11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  <x:c r="J11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</x:row>
    <x:row r="12">
      <x:c r="A12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  <x:c r="B12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  <x:c r="C12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  <x:c r="D12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  <x:c r="E12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  <x:c r="F12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  <x:c r="G12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  <x:c r="H12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  <x:c r="I12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  <x:c r="J12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</x:row>
    <x:row r="13">
      <x:c r="A13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  <x:c r="B13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  <x:c r="C13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  <x:c r="D13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  <x:c r="E13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  <x:c r="F13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  <x:c r="G13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  <x:c r="H13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  <x:c r="I13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  <x:c r="J13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</x:row>
    <x:row r="14">
      <x:c r="A14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  <x:c r="B14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  <x:c r="C14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  <x:c r="D14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  <x:c r="E14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  <x:c r="F14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  <x:c r="G14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  <x:c r="H14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  <x:c r="I14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  <x:c r="J14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</x:row>
    <x:row r="15">
      <x:c r="A15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  <x:c r="B15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  <x:c r="C15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  <x:c r="D15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  <x:c r="E15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  <x:c r="F15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  <x:c r="G15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  <x:c r="H15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  <x:c r="I15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  <x:c r="J15" s="306" t="str">
        <x:v>Sensitivity caveat: model cost is proportional to the configured per-call token assumptions except PageIndex, which recalculates a fixed token block plus a per-page token component. Infrastructure scales variable AgentCore/Lambda/log costs by reports or questions; shared storage/ECR/Secrets/retained logs are held fixed. Vertex grounding remains within the daily free allowance for all three scenarios when work is evenly distributed.</x:v>
      </x:c>
    </x:row>
  </x:sheetData>
  <x:mergeCells>
    <x:mergeCell ref="A1:J1"/>
    <x:mergeCell ref="A2:J2"/>
    <x:mergeCell ref="A4:J4"/>
    <x:mergeCell ref="A11:J1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17" hidden="0" customWidth="1"/>
    <x:col min="4" max="4" width="17" hidden="0" customWidth="1"/>
    <x:col min="5" max="5" width="17" hidden="0" customWidth="1"/>
    <x:col min="6" max="6" width="18" hidden="0" customWidth="1"/>
    <x:col min="7" max="7" width="19" hidden="0" customWidth="1"/>
    <x:col min="8" max="8" width="24" hidden="0" customWidth="1"/>
    <x:col min="9" max="9" width="16" hidden="0" customWidth="1"/>
    <x:col min="10" max="10" width="18" hidden="0" customWidth="1"/>
    <x:col min="11" max="11" width="19" hidden="0" customWidth="1"/>
  </x:cols>
  <x:sheetData>
    <x:row r="1" ht="34" customHeight="1">
      <x:c r="A1" s="70" t="str">
        <x:v>Requested Workloads — Token &amp; Monthly Cost Comparison</x:v>
      </x:c>
      <x:c r="B1" s="70" t="str">
        <x:v>Requested Workloads — Token &amp; Monthly Cost Comparison</x:v>
      </x:c>
      <x:c r="C1" s="70" t="str">
        <x:v>Requested Workloads — Token &amp; Monthly Cost Comparison</x:v>
      </x:c>
      <x:c r="D1" s="70" t="str">
        <x:v>Requested Workloads — Token &amp; Monthly Cost Comparison</x:v>
      </x:c>
      <x:c r="E1" s="70" t="str">
        <x:v>Requested Workloads — Token &amp; Monthly Cost Comparison</x:v>
      </x:c>
      <x:c r="F1" s="70" t="str">
        <x:v>Requested Workloads — Token &amp; Monthly Cost Comparison</x:v>
      </x:c>
      <x:c r="G1" s="70" t="str">
        <x:v>Requested Workloads — Token &amp; Monthly Cost Comparison</x:v>
      </x:c>
      <x:c r="H1" s="70" t="str">
        <x:v>Requested Workloads — Token &amp; Monthly Cost Comparison</x:v>
      </x:c>
      <x:c r="I1" s="70" t="str">
        <x:v>Requested Workloads — Token &amp; Monthly Cost Comparison</x:v>
      </x:c>
      <x:c r="J1" s="70" t="str">
        <x:v>Requested Workloads — Token &amp; Monthly Cost Comparison</x:v>
      </x:c>
      <x:c r="K1" s="70" t="str">
        <x:v>Requested Workloads — Token &amp; Monthly Cost Comparison</x:v>
      </x:c>
    </x:row>
    <x:row r="2" ht="30" customHeight="1">
      <x:c r="A2" s="41" t="str">
        <x:v>Compares one company with 23 reports and 29 questions against the monthly portfolio of 20 companies, 240 reports, and 1,000 questions. Average document length remains 150 pages.</x:v>
      </x:c>
      <x:c r="B2" s="41" t="str">
        <x:v>Compares one company with 23 reports and 29 questions against the monthly portfolio of 20 companies, 240 reports, and 1,000 questions. Average document length remains 150 pages.</x:v>
      </x:c>
      <x:c r="C2" s="41" t="str">
        <x:v>Compares one company with 23 reports and 29 questions against the monthly portfolio of 20 companies, 240 reports, and 1,000 questions. Average document length remains 150 pages.</x:v>
      </x:c>
      <x:c r="D2" s="41" t="str">
        <x:v>Compares one company with 23 reports and 29 questions against the monthly portfolio of 20 companies, 240 reports, and 1,000 questions. Average document length remains 150 pages.</x:v>
      </x:c>
      <x:c r="E2" s="41" t="str">
        <x:v>Compares one company with 23 reports and 29 questions against the monthly portfolio of 20 companies, 240 reports, and 1,000 questions. Average document length remains 150 pages.</x:v>
      </x:c>
      <x:c r="F2" s="41" t="str">
        <x:v>Compares one company with 23 reports and 29 questions against the monthly portfolio of 20 companies, 240 reports, and 1,000 questions. Average document length remains 150 pages.</x:v>
      </x:c>
      <x:c r="G2" s="41" t="str">
        <x:v>Compares one company with 23 reports and 29 questions against the monthly portfolio of 20 companies, 240 reports, and 1,000 questions. Average document length remains 150 pages.</x:v>
      </x:c>
      <x:c r="H2" s="41" t="str">
        <x:v>Compares one company with 23 reports and 29 questions against the monthly portfolio of 20 companies, 240 reports, and 1,000 questions. Average document length remains 150 pages.</x:v>
      </x:c>
      <x:c r="I2" s="41" t="str">
        <x:v>Compares one company with 23 reports and 29 questions against the monthly portfolio of 20 companies, 240 reports, and 1,000 questions. Average document length remains 150 pages.</x:v>
      </x:c>
      <x:c r="J2" s="41" t="str">
        <x:v>Compares one company with 23 reports and 29 questions against the monthly portfolio of 20 companies, 240 reports, and 1,000 questions. Average document length remains 150 pages.</x:v>
      </x:c>
      <x:c r="K2" s="41" t="str">
        <x:v>Compares one company with 23 reports and 29 questions against the monthly portfolio of 20 companies, 240 reports, and 1,000 questions. Average document length remains 150 pages.</x:v>
      </x:c>
    </x:row>
    <x:row r="3">
      <x:c r="A3" s="71"/>
      <x:c r="B3" s="71"/>
      <x:c r="C3" s="71"/>
      <x:c r="D3" s="71"/>
      <x:c r="E3" s="71"/>
      <x:c r="F3" s="71"/>
      <x:c r="G3" s="71"/>
      <x:c r="H3" s="71"/>
      <x:c r="I3" s="71"/>
      <x:c r="J3" s="71"/>
      <x:c r="K3" s="71"/>
    </x:row>
    <x:row r="4" ht="22" customHeight="1">
      <x:c r="A4" s="72" t="str">
        <x:v>Scenario summary</x:v>
      </x:c>
      <x:c r="B4" s="72" t="str">
        <x:v>Scenario summary</x:v>
      </x:c>
      <x:c r="C4" s="72" t="str">
        <x:v>Scenario summary</x:v>
      </x:c>
      <x:c r="D4" s="72" t="str">
        <x:v>Scenario summary</x:v>
      </x:c>
      <x:c r="E4" s="72" t="str">
        <x:v>Scenario summary</x:v>
      </x:c>
      <x:c r="F4" s="72" t="str">
        <x:v>Scenario summary</x:v>
      </x:c>
      <x:c r="G4" s="72" t="str">
        <x:v>Scenario summary</x:v>
      </x:c>
      <x:c r="H4" s="72" t="str">
        <x:v>Scenario summary</x:v>
      </x:c>
      <x:c r="I4" s="72" t="str">
        <x:v>Scenario summary</x:v>
      </x:c>
      <x:c r="J4" s="72" t="str">
        <x:v>Scenario summary</x:v>
      </x:c>
      <x:c r="K4" s="72" t="str">
        <x:v>Scenario summary</x:v>
      </x:c>
    </x:row>
    <x:row r="5">
      <x:c r="A5" s="44" t="str">
        <x:v>Scenario</x:v>
      </x:c>
      <x:c r="B5" s="44" t="str">
        <x:v>Companies</x:v>
      </x:c>
      <x:c r="C5" s="44" t="str">
        <x:v>Reports</x:v>
      </x:c>
      <x:c r="D5" s="44" t="str">
        <x:v>Questions</x:v>
      </x:c>
      <x:c r="E5" s="44" t="str">
        <x:v>Avg pages / report</x:v>
      </x:c>
      <x:c r="F5" s="44" t="str">
        <x:v>Input tokens</x:v>
      </x:c>
      <x:c r="G5" s="44" t="str">
        <x:v>Output tokens</x:v>
      </x:c>
      <x:c r="H5" s="44" t="str">
        <x:v>Model cost — current</x:v>
      </x:c>
      <x:c r="I5" s="44" t="str">
        <x:v>Infrastructure</x:v>
      </x:c>
      <x:c r="J5" s="44" t="str">
        <x:v>All-in — current</x:v>
      </x:c>
      <x:c r="K5" s="44" t="str">
        <x:v>All-in — post-promo</x:v>
      </x:c>
    </x:row>
    <x:row r="6">
      <x:c r="A6" s="73" t="str">
        <x:v>1 company workload</x:v>
      </x:c>
      <x:c r="B6" s="75" t="n">
        <x:v>1</x:v>
      </x:c>
      <x:c r="C6" s="75" t="n">
        <x:v>23</x:v>
      </x:c>
      <x:c r="D6" s="75" t="n">
        <x:v>29</x:v>
      </x:c>
      <x:c r="E6" s="322" t="n">
        <x:f>'Assumptions'!$B$13</x:f>
        <x:v>150</x:v>
      </x:c>
      <x:c r="F6" s="322" t="n">
        <x:f>C17</x:f>
        <x:v>6477839.5</x:v>
      </x:c>
      <x:c r="G6" s="322" t="n">
        <x:f>D17</x:f>
        <x:v>558115</x:v>
      </x:c>
      <x:c r="H6" s="308" t="n">
        <x:f>F17</x:f>
        <x:v>23.475464350000003</x:v>
      </x:c>
      <x:c r="I6" s="308" t="n">
        <x:f>F28</x:f>
        <x:v>2.8188126309270833</x:v>
      </x:c>
      <x:c r="J6" s="308" t="n">
        <x:f>H6+I6</x:f>
        <x:v>26.294276980927087</x:v>
      </x:c>
      <x:c r="K6" s="308" t="n">
        <x:f>G17+I6</x:f>
        <x:v>29.744526980927084</x:v>
      </x:c>
    </x:row>
    <x:row r="7">
      <x:c r="A7" s="78" t="str">
        <x:v>Monthly portfolio</x:v>
      </x:c>
      <x:c r="B7" s="83" t="n">
        <x:v>20</x:v>
      </x:c>
      <x:c r="C7" s="83" t="n">
        <x:v>240</x:v>
      </x:c>
      <x:c r="D7" s="83" t="n">
        <x:v>1000</x:v>
      </x:c>
      <x:c r="E7" s="339" t="n">
        <x:f>'Assumptions'!$B$13</x:f>
        <x:v>150</x:v>
      </x:c>
      <x:c r="F7" s="339" t="n">
        <x:f>C23</x:f>
        <x:v>117812760</x:v>
      </x:c>
      <x:c r="G7" s="339" t="n">
        <x:f>D23</x:f>
        <x:v>8756200</x:v>
      </x:c>
      <x:c r="H7" s="309" t="n">
        <x:f>F23</x:f>
        <x:v>374.688728</x:v>
      </x:c>
      <x:c r="I7" s="309" t="n">
        <x:f>F29</x:f>
        <x:v>9.580881368333333</x:v>
      </x:c>
      <x:c r="J7" s="309" t="n">
        <x:f>H7+I7</x:f>
        <x:v>384.26960936833336</x:v>
      </x:c>
      <x:c r="K7" s="309" t="n">
        <x:f>G23+I7</x:f>
        <x:v>485.1296093683333</x:v>
      </x:c>
    </x:row>
    <x:row r="8">
      <x:c r="A8" s="71"/>
      <x:c r="B8" s="71"/>
      <x:c r="C8" s="71"/>
      <x:c r="D8" s="71"/>
      <x:c r="E8" s="71"/>
      <x:c r="F8" s="71"/>
      <x:c r="G8" s="71"/>
      <x:c r="H8" s="71"/>
      <x:c r="I8" s="71"/>
      <x:c r="J8" s="71"/>
      <x:c r="K8" s="71"/>
    </x:row>
    <x:row r="9">
      <x:c r="A9" s="71"/>
      <x:c r="B9" s="71"/>
      <x:c r="C9" s="71"/>
      <x:c r="D9" s="71"/>
      <x:c r="E9" s="71"/>
      <x:c r="F9" s="71"/>
      <x:c r="G9" s="71"/>
      <x:c r="H9" s="71"/>
      <x:c r="I9" s="71"/>
      <x:c r="J9" s="71"/>
      <x:c r="K9" s="71"/>
    </x:row>
    <x:row r="10" ht="22" customHeight="1">
      <x:c r="A10" s="72" t="str">
        <x:v>Model-wise token spend and cost</x:v>
      </x:c>
      <x:c r="B10" s="72" t="str">
        <x:v>Model-wise token spend and cost</x:v>
      </x:c>
      <x:c r="C10" s="72" t="str">
        <x:v>Model-wise token spend and cost</x:v>
      </x:c>
      <x:c r="D10" s="72" t="str">
        <x:v>Model-wise token spend and cost</x:v>
      </x:c>
      <x:c r="E10" s="72" t="str">
        <x:v>Model-wise token spend and cost</x:v>
      </x:c>
      <x:c r="F10" s="72" t="str">
        <x:v>Model-wise token spend and cost</x:v>
      </x:c>
      <x:c r="G10" s="72" t="str">
        <x:v>Model-wise token spend and cost</x:v>
      </x:c>
      <x:c r="H10" s="72" t="str">
        <x:v>Model-wise token spend and cost</x:v>
      </x:c>
      <x:c r="I10" s="71"/>
      <x:c r="J10" s="71"/>
      <x:c r="K10" s="71"/>
    </x:row>
    <x:row r="11">
      <x:c r="A11" s="44" t="str">
        <x:v>Scenario</x:v>
      </x:c>
      <x:c r="B11" s="44" t="str">
        <x:v>Model / service</x:v>
      </x:c>
      <x:c r="C11" s="44" t="str">
        <x:v>Input tokens</x:v>
      </x:c>
      <x:c r="D11" s="44" t="str">
        <x:v>Output tokens</x:v>
      </x:c>
      <x:c r="E11" s="44" t="str">
        <x:v>Total tokens</x:v>
      </x:c>
      <x:c r="F11" s="44" t="str">
        <x:v>Current cost</x:v>
      </x:c>
      <x:c r="G11" s="44" t="str">
        <x:v>Post-promo cost</x:v>
      </x:c>
      <x:c r="H11" s="44" t="str">
        <x:v>Calculation basis</x:v>
      </x:c>
      <x:c r="I11" s="71"/>
      <x:c r="J11" s="71"/>
      <x:c r="K11" s="71"/>
    </x:row>
    <x:row r="12">
      <x:c r="A12" s="73" t="str">
        <x:v>1 company workload</x:v>
      </x:c>
      <x:c r="B12" s="73" t="str">
        <x:v>Claude Sonnet 5</x:v>
      </x:c>
      <x:c r="C12" s="322" t="n">
        <x:f>$C$6*('Assumptions'!$F$23*'Assumptions'!$G$23+'Assumptions'!$F$24*'Assumptions'!$G$24)+$D$6*'Assumptions'!$F$29*'Assumptions'!$G$29</x:f>
        <x:v>2686000</x:v>
      </x:c>
      <x:c r="D12" s="322" t="n">
        <x:f>$C$6*('Assumptions'!$F$23*'Assumptions'!$H$23+'Assumptions'!$F$24*'Assumptions'!$H$24)+$D$6*'Assumptions'!$F$29*'Assumptions'!$H$29</x:f>
        <x:v>152850</x:v>
      </x:c>
      <x:c r="E12" s="322" t="n">
        <x:f>C12+D12</x:f>
        <x:v>2838850</x:v>
      </x:c>
      <x:c r="F12" s="340" t="n">
        <x:f>C12/1000000*'Model Cost'!$B$6+D12/1000000*'Model Cost'!$C$6</x:f>
        <x:v>6.9005</x:v>
      </x:c>
      <x:c r="G12" s="340" t="n">
        <x:f>C12/1000000*'Model Cost'!$D$6+D12/1000000*'Model Cost'!$E$6</x:f>
        <x:v>10.35075</x:v>
      </x:c>
      <x:c r="H12" s="73" t="str">
        <x:v>Download + answering</x:v>
      </x:c>
      <x:c r="I12" s="71"/>
      <x:c r="J12" s="71"/>
      <x:c r="K12" s="71"/>
    </x:row>
    <x:row r="13">
      <x:c r="A13" s="73" t="str">
        <x:v>1 company workload</x:v>
      </x:c>
      <x:c r="B13" s="73" t="str">
        <x:v>Claude Sonnet 4.5</x:v>
      </x:c>
      <x:c r="C13" s="322" t="n">
        <x:f>$C$6*'Assumptions'!$F$28*(25000+$E$6*900)</x:f>
        <x:v>3680000</x:v>
      </x:c>
      <x:c r="D13" s="322" t="n">
        <x:f>$C$6*'Assumptions'!$F$28*(2000+$E$6*90)</x:f>
        <x:v>356500</x:v>
      </x:c>
      <x:c r="E13" s="322" t="n">
        <x:f>C13+D13</x:f>
        <x:v>4036500</x:v>
      </x:c>
      <x:c r="F13" s="340" t="n">
        <x:f>C13/1000000*'Model Cost'!$B$7+D13/1000000*'Model Cost'!$C$7</x:f>
        <x:v>16.387500000000003</x:v>
      </x:c>
      <x:c r="G13" s="340" t="n">
        <x:f>C13/1000000*'Model Cost'!$D$7+D13/1000000*'Model Cost'!$E$7</x:f>
        <x:v>16.387500000000003</x:v>
      </x:c>
      <x:c r="H13" s="73" t="str">
        <x:v>PageIndex estimate</x:v>
      </x:c>
      <x:c r="I13" s="71"/>
      <x:c r="J13" s="71"/>
      <x:c r="K13" s="71"/>
    </x:row>
    <x:row r="14">
      <x:c r="A14" s="73" t="str">
        <x:v>1 company workload</x:v>
      </x:c>
      <x:c r="B14" s="73" t="str">
        <x:v>Gemini 2.5 Flash (thinking)</x:v>
      </x:c>
      <x:c r="C14" s="322" t="n">
        <x:f>$C$6*'Assumptions'!$F$25*'Assumptions'!$G$25+$B$6*'Assumptions'!$F$26*'Assumptions'!$G$26</x:f>
        <x:v>111000</x:v>
      </x:c>
      <x:c r="D14" s="322" t="n">
        <x:f>$C$6*'Assumptions'!$F$25*'Assumptions'!$H$25+$B$6*'Assumptions'!$F$26*'Assumptions'!$H$26</x:f>
        <x:v>48650</x:v>
      </x:c>
      <x:c r="E14" s="322" t="n">
        <x:f>C14+D14</x:f>
        <x:v>159650</x:v>
      </x:c>
      <x:c r="F14" s="340" t="n">
        <x:f>C14/1000000*'Model Cost'!$B$8+D14/1000000*'Model Cost'!$C$8</x:f>
        <x:v>0.186925</x:v>
      </x:c>
      <x:c r="G14" s="340" t="n">
        <x:f>C14/1000000*'Model Cost'!$D$8+D14/1000000*'Model Cost'!$E$8</x:f>
        <x:v>0.186925</x:v>
      </x:c>
      <x:c r="H14" s="73" t="str">
        <x:v>Vertex document + identity search</x:v>
      </x:c>
      <x:c r="I14" s="71"/>
      <x:c r="J14" s="71"/>
      <x:c r="K14" s="71"/>
    </x:row>
    <x:row r="15">
      <x:c r="A15" s="73" t="str">
        <x:v>1 company workload</x:v>
      </x:c>
      <x:c r="B15" s="73" t="str">
        <x:v>Amazon Nova 2 Lite</x:v>
      </x:c>
      <x:c r="C15" s="322" t="n">
        <x:f>$C$6*'Assumptions'!$F$27*'Assumptions'!$G$27</x:f>
        <x:v>839.5000000000001</x:v>
      </x:c>
      <x:c r="D15" s="322" t="n">
        <x:f>$C$6*'Assumptions'!$F$27*'Assumptions'!$H$27</x:f>
        <x:v>115.00000000000001</x:v>
      </x:c>
      <x:c r="E15" s="322" t="n">
        <x:f>C15+D15</x:f>
        <x:v>954.5000000000001</x:v>
      </x:c>
      <x:c r="F15" s="340" t="n">
        <x:f>C15/1000000*'Model Cost'!$B$9+D15/1000000*'Model Cost'!$C$9</x:f>
        <x:v>0.0005393500000000001</x:v>
      </x:c>
      <x:c r="G15" s="340" t="n">
        <x:f>C15/1000000*'Model Cost'!$D$9+D15/1000000*'Model Cost'!$E$9</x:f>
        <x:v>0.0005393500000000001</x:v>
      </x:c>
      <x:c r="H15" s="73" t="str">
        <x:v>Browser-vision fallback</x:v>
      </x:c>
      <x:c r="I15" s="71"/>
      <x:c r="J15" s="71"/>
      <x:c r="K15" s="71"/>
    </x:row>
    <x:row r="16">
      <x:c r="A16" s="73" t="str">
        <x:v>1 company workload</x:v>
      </x:c>
      <x:c r="B16" s="73" t="str">
        <x:v>Vertex grounding</x:v>
      </x:c>
      <x:c r="C16" s="322" t="n">
        <x:v>0</x:v>
      </x:c>
      <x:c r="D16" s="322" t="n">
        <x:v>0</x:v>
      </x:c>
      <x:c r="E16" s="322" t="n">
        <x:v>0</x:v>
      </x:c>
      <x:c r="F16" s="340" t="n">
        <x:f>MAX(0,($C$6*'Assumptions'!$F$25+$B$6*'Assumptions'!$F$26)/'Assumptions'!$B$7-'Model Cost'!$I$5)*'Assumptions'!$B$7*'Model Cost'!$I$6/1000</x:f>
        <x:v>0</x:v>
      </x:c>
      <x:c r="G16" s="340" t="n">
        <x:f>F16</x:f>
        <x:v>0</x:v>
      </x:c>
      <x:c r="H16" s="73" t="str">
        <x:v>6 document searches/report + 1 identity search/company</x:v>
      </x:c>
      <x:c r="I16" s="71"/>
      <x:c r="J16" s="71"/>
      <x:c r="K16" s="71"/>
    </x:row>
    <x:row r="17">
      <x:c r="A17" s="341" t="str">
        <x:v>1 company workload</x:v>
      </x:c>
      <x:c r="B17" s="341" t="str">
        <x:v>TOTAL</x:v>
      </x:c>
      <x:c r="C17" s="342" t="n">
        <x:f>SUM(C12:C16)</x:f>
        <x:v>6477839.5</x:v>
      </x:c>
      <x:c r="D17" s="342" t="n">
        <x:f>SUM(D12:D16)</x:f>
        <x:v>558115</x:v>
      </x:c>
      <x:c r="E17" s="342" t="n">
        <x:f>SUM(E12:E16)</x:f>
        <x:v>7035954.5</x:v>
      </x:c>
      <x:c r="F17" s="343" t="n">
        <x:f>SUM(F12:F16)</x:f>
        <x:v>23.475464350000003</x:v>
      </x:c>
      <x:c r="G17" s="343" t="n">
        <x:f>SUM(G12:G16)</x:f>
        <x:v>26.92571435</x:v>
      </x:c>
      <x:c r="H17" s="341" t="str"/>
      <x:c r="I17" s="71"/>
      <x:c r="J17" s="71"/>
      <x:c r="K17" s="71"/>
    </x:row>
    <x:row r="18">
      <x:c r="A18" s="73" t="str">
        <x:v>Monthly portfolio</x:v>
      </x:c>
      <x:c r="B18" s="73" t="str">
        <x:v>Claude Sonnet 5</x:v>
      </x:c>
      <x:c r="C18" s="322" t="n">
        <x:f>$C$7*('Assumptions'!$F$23*'Assumptions'!$G$23+'Assumptions'!$F$24*'Assumptions'!$G$24)+$D$7*'Assumptions'!$F$29*'Assumptions'!$G$29</x:f>
        <x:v>78240000</x:v>
      </x:c>
      <x:c r="D18" s="322" t="n">
        <x:f>$C$7*('Assumptions'!$F$23*'Assumptions'!$H$23+'Assumptions'!$F$24*'Assumptions'!$H$24)+$D$7*'Assumptions'!$F$29*'Assumptions'!$H$29</x:f>
        <x:v>4524000</x:v>
      </x:c>
      <x:c r="E18" s="322" t="n">
        <x:f>C18+D18</x:f>
        <x:v>82764000</x:v>
      </x:c>
      <x:c r="F18" s="340" t="n">
        <x:f>C18/1000000*'Model Cost'!$B$6+D18/1000000*'Model Cost'!$C$6</x:f>
        <x:v>201.72</x:v>
      </x:c>
      <x:c r="G18" s="340" t="n">
        <x:f>C18/1000000*'Model Cost'!$D$6+D18/1000000*'Model Cost'!$E$6</x:f>
        <x:v>302.58</x:v>
      </x:c>
      <x:c r="H18" s="73" t="str">
        <x:v>Download + answering</x:v>
      </x:c>
      <x:c r="I18" s="71"/>
      <x:c r="J18" s="71"/>
      <x:c r="K18" s="71"/>
    </x:row>
    <x:row r="19">
      <x:c r="A19" s="73" t="str">
        <x:v>Monthly portfolio</x:v>
      </x:c>
      <x:c r="B19" s="73" t="str">
        <x:v>Claude Sonnet 4.5</x:v>
      </x:c>
      <x:c r="C19" s="322" t="n">
        <x:f>$C$7*'Assumptions'!$F$28*(25000+$E$7*900)</x:f>
        <x:v>38400000</x:v>
      </x:c>
      <x:c r="D19" s="322" t="n">
        <x:f>$C$7*'Assumptions'!$F$28*(2000+$E$7*90)</x:f>
        <x:v>3720000</x:v>
      </x:c>
      <x:c r="E19" s="322" t="n">
        <x:f>C19+D19</x:f>
        <x:v>42120000</x:v>
      </x:c>
      <x:c r="F19" s="340" t="n">
        <x:f>C19/1000000*'Model Cost'!$B$7+D19/1000000*'Model Cost'!$C$7</x:f>
        <x:v>171</x:v>
      </x:c>
      <x:c r="G19" s="340" t="n">
        <x:f>C19/1000000*'Model Cost'!$D$7+D19/1000000*'Model Cost'!$E$7</x:f>
        <x:v>171</x:v>
      </x:c>
      <x:c r="H19" s="73" t="str">
        <x:v>PageIndex estimate</x:v>
      </x:c>
      <x:c r="I19" s="71"/>
      <x:c r="J19" s="71"/>
      <x:c r="K19" s="71"/>
    </x:row>
    <x:row r="20">
      <x:c r="A20" s="73" t="str">
        <x:v>Monthly portfolio</x:v>
      </x:c>
      <x:c r="B20" s="73" t="str">
        <x:v>Gemini 2.5 Flash (thinking)</x:v>
      </x:c>
      <x:c r="C20" s="322" t="n">
        <x:f>$C$7*'Assumptions'!$F$25*'Assumptions'!$G$25+$B$7*'Assumptions'!$F$26*'Assumptions'!$G$26</x:f>
        <x:v>1164000</x:v>
      </x:c>
      <x:c r="D20" s="322" t="n">
        <x:f>$C$7*'Assumptions'!$F$25*'Assumptions'!$H$25+$B$7*'Assumptions'!$F$26*'Assumptions'!$H$26</x:f>
        <x:v>511000</x:v>
      </x:c>
      <x:c r="E20" s="322" t="n">
        <x:f>C20+D20</x:f>
        <x:v>1675000</x:v>
      </x:c>
      <x:c r="F20" s="340" t="n">
        <x:f>C20/1000000*'Model Cost'!$B$8+D20/1000000*'Model Cost'!$C$8</x:f>
        <x:v>1.9630999999999998</x:v>
      </x:c>
      <x:c r="G20" s="340" t="n">
        <x:f>C20/1000000*'Model Cost'!$D$8+D20/1000000*'Model Cost'!$E$8</x:f>
        <x:v>1.9630999999999998</x:v>
      </x:c>
      <x:c r="H20" s="73" t="str">
        <x:v>Vertex document + identity search</x:v>
      </x:c>
      <x:c r="I20" s="71"/>
      <x:c r="J20" s="71"/>
      <x:c r="K20" s="71"/>
    </x:row>
    <x:row r="21">
      <x:c r="A21" s="73" t="str">
        <x:v>Monthly portfolio</x:v>
      </x:c>
      <x:c r="B21" s="73" t="str">
        <x:v>Amazon Nova 2 Lite</x:v>
      </x:c>
      <x:c r="C21" s="322" t="n">
        <x:f>$C$7*'Assumptions'!$F$27*'Assumptions'!$G$27</x:f>
        <x:v>8760</x:v>
      </x:c>
      <x:c r="D21" s="322" t="n">
        <x:f>$C$7*'Assumptions'!$F$27*'Assumptions'!$H$27</x:f>
        <x:v>1200</x:v>
      </x:c>
      <x:c r="E21" s="322" t="n">
        <x:f>C21+D21</x:f>
        <x:v>9960</x:v>
      </x:c>
      <x:c r="F21" s="340" t="n">
        <x:f>C21/1000000*'Model Cost'!$B$9+D21/1000000*'Model Cost'!$C$9</x:f>
        <x:v>0.005627999999999999</x:v>
      </x:c>
      <x:c r="G21" s="340" t="n">
        <x:f>C21/1000000*'Model Cost'!$D$9+D21/1000000*'Model Cost'!$E$9</x:f>
        <x:v>0.005627999999999999</x:v>
      </x:c>
      <x:c r="H21" s="73" t="str">
        <x:v>Browser-vision fallback</x:v>
      </x:c>
      <x:c r="I21" s="71"/>
      <x:c r="J21" s="71"/>
      <x:c r="K21" s="71"/>
    </x:row>
    <x:row r="22">
      <x:c r="A22" s="73" t="str">
        <x:v>Monthly portfolio</x:v>
      </x:c>
      <x:c r="B22" s="73" t="str">
        <x:v>Vertex grounding</x:v>
      </x:c>
      <x:c r="C22" s="322" t="n">
        <x:v>0</x:v>
      </x:c>
      <x:c r="D22" s="322" t="n">
        <x:v>0</x:v>
      </x:c>
      <x:c r="E22" s="322" t="n">
        <x:v>0</x:v>
      </x:c>
      <x:c r="F22" s="340" t="n">
        <x:f>MAX(0,($C$7*'Assumptions'!$F$25+$B$7*'Assumptions'!$F$26)/'Assumptions'!$B$7-'Model Cost'!$I$5)*'Assumptions'!$B$7*'Model Cost'!$I$6/1000</x:f>
        <x:v>0</x:v>
      </x:c>
      <x:c r="G22" s="340" t="n">
        <x:f>F22</x:f>
        <x:v>0</x:v>
      </x:c>
      <x:c r="H22" s="73" t="str">
        <x:v>6 document searches/report + 1 identity search/company</x:v>
      </x:c>
      <x:c r="I22" s="71"/>
      <x:c r="J22" s="71"/>
      <x:c r="K22" s="71"/>
    </x:row>
    <x:row r="23">
      <x:c r="A23" s="325" t="str">
        <x:v>Monthly portfolio</x:v>
      </x:c>
      <x:c r="B23" s="325" t="str">
        <x:v>TOTAL</x:v>
      </x:c>
      <x:c r="C23" s="344" t="n">
        <x:f>SUM(C18:C22)</x:f>
        <x:v>117812760</x:v>
      </x:c>
      <x:c r="D23" s="344" t="n">
        <x:f>SUM(D18:D22)</x:f>
        <x:v>8756200</x:v>
      </x:c>
      <x:c r="E23" s="344" t="n">
        <x:f>SUM(E18:E22)</x:f>
        <x:v>126568960</x:v>
      </x:c>
      <x:c r="F23" s="345" t="n">
        <x:f>SUM(F18:F22)</x:f>
        <x:v>374.688728</x:v>
      </x:c>
      <x:c r="G23" s="345" t="n">
        <x:f>SUM(G18:G22)</x:f>
        <x:v>475.548728</x:v>
      </x:c>
      <x:c r="H23" s="325" t="str"/>
      <x:c r="I23" s="71"/>
      <x:c r="J23" s="71"/>
      <x:c r="K23" s="71"/>
    </x:row>
    <x:row r="24">
      <x:c r="A24" s="71"/>
      <x:c r="B24" s="71"/>
      <x:c r="C24" s="71"/>
      <x:c r="D24" s="71"/>
      <x:c r="E24" s="71"/>
      <x:c r="F24" s="71"/>
      <x:c r="G24" s="71"/>
      <x:c r="H24" s="71"/>
      <x:c r="I24" s="71"/>
      <x:c r="J24" s="71"/>
      <x:c r="K24" s="71"/>
    </x:row>
    <x:row r="25">
      <x:c r="A25" s="71"/>
      <x:c r="B25" s="71"/>
      <x:c r="C25" s="71"/>
      <x:c r="D25" s="71"/>
      <x:c r="E25" s="71"/>
      <x:c r="F25" s="71"/>
      <x:c r="G25" s="71"/>
      <x:c r="H25" s="71"/>
      <x:c r="I25" s="71"/>
      <x:c r="J25" s="71"/>
      <x:c r="K25" s="71"/>
    </x:row>
    <x:row r="26" ht="22" customHeight="1">
      <x:c r="A26" s="72" t="str">
        <x:v>Scenario-specific infrastructure cost</x:v>
      </x:c>
      <x:c r="B26" s="72" t="str">
        <x:v>Scenario-specific infrastructure cost</x:v>
      </x:c>
      <x:c r="C26" s="72" t="str">
        <x:v>Scenario-specific infrastructure cost</x:v>
      </x:c>
      <x:c r="D26" s="72" t="str">
        <x:v>Scenario-specific infrastructure cost</x:v>
      </x:c>
      <x:c r="E26" s="72" t="str">
        <x:v>Scenario-specific infrastructure cost</x:v>
      </x:c>
      <x:c r="F26" s="72" t="str">
        <x:v>Scenario-specific infrastructure cost</x:v>
      </x:c>
      <x:c r="G26" s="72" t="str">
        <x:v>Scenario-specific infrastructure cost</x:v>
      </x:c>
      <x:c r="H26" s="71"/>
      <x:c r="I26" s="71"/>
      <x:c r="J26" s="71"/>
      <x:c r="K26" s="71"/>
    </x:row>
    <x:row r="27">
      <x:c r="A27" s="44" t="str">
        <x:v>Scenario</x:v>
      </x:c>
      <x:c r="B27" s="44" t="str">
        <x:v>Download Agent</x:v>
      </x:c>
      <x:c r="C27" s="44" t="str">
        <x:v>PageIndex Agent</x:v>
      </x:c>
      <x:c r="D27" s="44" t="str">
        <x:v>Answering Agent</x:v>
      </x:c>
      <x:c r="E27" s="44" t="str">
        <x:v>Shared</x:v>
      </x:c>
      <x:c r="F27" s="44" t="str">
        <x:v>Total infrastructure</x:v>
      </x:c>
      <x:c r="G27" s="44" t="str">
        <x:v>Notes</x:v>
      </x:c>
      <x:c r="H27" s="71"/>
      <x:c r="I27" s="71"/>
      <x:c r="J27" s="71"/>
      <x:c r="K27" s="71"/>
    </x:row>
    <x:row r="28">
      <x:c r="A28" s="73" t="str">
        <x:v>1 company workload</x:v>
      </x:c>
      <x:c r="B28" s="340" t="n">
        <x:f>$C$6*('Assumptions'!$B$34/3600*'Infra Cost'!$B$6+'Assumptions'!$B$35/3600*'Assumptions'!$B$36*'Infra Cost'!$B$7+'Assumptions'!$B$37*'Assumptions'!$B$38/3600*'Assumptions'!$B$39*'Infra Cost'!$B$8+'Assumptions'!$B$37*'Assumptions'!$B$40/3600*'Assumptions'!$B$41*'Infra Cost'!$B$9)+($C$6*'Assumptions'!$F$25+$B$6*'Assumptions'!$F$26)*('Assumptions'!$B$48*'Assumptions'!$B$49*'Infra Cost'!$B$10+'Infra Cost'!$B$11/1000000+'Assumptions'!$B$50/1000*'Infra Cost'!$B$12+'Assumptions'!$B$50/1000*'Infra Cost'!$B$13)+$C$6*('Infra Cost'!$B$17/1000000+2*'Infra Cost'!$B$18/1000000)+'Assumptions'!$B$18*('Infra Cost'!$B$19+'Infra Cost'!$B$20)+'Infra Cost'!$B$22+($C$6*'Assumptions'!$B$51+($C$6*'Assumptions'!$F$25+$B$6*'Assumptions'!$F$26)*'Assumptions'!$B$54)/1024*'Infra Cost'!$B$23+$C$6*'Infra Cost'!$E$55*'Infra Cost'!$G$55+'Assumptions'!$B$56*'Infra Cost'!$B$26</x:f>
        <x:v>0.7551564846250001</x:v>
      </x:c>
      <x:c r="C28" s="340" t="n">
        <x:f>$C$6*('Assumptions'!$B$42/3600*'Infra Cost'!$B$6+'Assumptions'!$B$43/3600*'Assumptions'!$B$44*'Infra Cost'!$B$7+'Assumptions'!$B$52/1024*'Infra Cost'!$B$23)</x:f>
        <x:v>0.27768307291666666</x:v>
      </x:c>
      <x:c r="D28" s="340" t="n">
        <x:f>$D$6*('Assumptions'!$B$45/3600*'Infra Cost'!$B$6+'Assumptions'!$B$46/3600*'Assumptions'!$B$47*'Infra Cost'!$B$7+'Assumptions'!$B$53/1024*'Infra Cost'!$B$23)</x:f>
        <x:v>0.03784424479166667</x:v>
      </x:c>
      <x:c r="E28" s="340" t="n">
        <x:f>('Assumptions'!$B$15+$C$6*'Assumptions'!$B$14/1024/2)*'Assumptions'!$B$16*'Infra Cost'!$B$14+$C$6*2/1000*'Infra Cost'!$B$15+($C$6*6+$D$6*0.2)/1000*'Infra Cost'!$B$16+'Assumptions'!$B$17*'Infra Cost'!$B$21+'Assumptions'!$B$55*'Infra Cost'!$B$24</x:f>
        <x:v>1.74812882859375</x:v>
      </x:c>
      <x:c r="F28" s="340" t="n">
        <x:f>SUM(B28:E28)</x:f>
        <x:v>2.8188126309270833</x:v>
      </x:c>
      <x:c r="G28" s="73" t="str">
        <x:v>Includes fixed retained storage, ECR, secret, archived logs, and small egress</x:v>
      </x:c>
      <x:c r="H28" s="71"/>
      <x:c r="I28" s="71"/>
      <x:c r="J28" s="71"/>
      <x:c r="K28" s="71"/>
    </x:row>
    <x:row r="29">
      <x:c r="A29" s="73" t="str">
        <x:v>Monthly portfolio</x:v>
      </x:c>
      <x:c r="B29" s="340" t="n">
        <x:f>$C$7*('Assumptions'!$B$34/3600*'Infra Cost'!$B$6+'Assumptions'!$B$35/3600*'Assumptions'!$B$36*'Infra Cost'!$B$7+'Assumptions'!$B$37*'Assumptions'!$B$38/3600*'Assumptions'!$B$39*'Infra Cost'!$B$8+'Assumptions'!$B$37*'Assumptions'!$B$40/3600*'Assumptions'!$B$41*'Infra Cost'!$B$9)+($C$7*'Assumptions'!$F$25+$B$7*'Assumptions'!$F$26)*('Assumptions'!$B$48*'Assumptions'!$B$49*'Infra Cost'!$B$10+'Infra Cost'!$B$11/1000000+'Assumptions'!$B$50/1000*'Infra Cost'!$B$12+'Assumptions'!$B$50/1000*'Infra Cost'!$B$13)+$C$7*('Infra Cost'!$B$17/1000000+2*'Infra Cost'!$B$18/1000000)+'Assumptions'!$B$18*('Infra Cost'!$B$19+'Infra Cost'!$B$20)+'Infra Cost'!$B$22+($C$7*'Assumptions'!$B$51+($C$7*'Assumptions'!$F$25+$B$7*'Assumptions'!$F$26)*'Assumptions'!$B$54)/1024*'Infra Cost'!$B$23+$C$7*'Infra Cost'!$E$55*'Infra Cost'!$G$55+'Assumptions'!$B$56*'Infra Cost'!$B$26</x:f>
        <x:v>3.6006404725000003</x:v>
      </x:c>
      <x:c r="C29" s="340" t="n">
        <x:f>$C$7*('Assumptions'!$B$42/3600*'Infra Cost'!$B$6+'Assumptions'!$B$43/3600*'Assumptions'!$B$44*'Infra Cost'!$B$7+'Assumptions'!$B$52/1024*'Infra Cost'!$B$23)</x:f>
        <x:v>2.8975625</x:v>
      </x:c>
      <x:c r="D29" s="340" t="n">
        <x:f>$D$7*('Assumptions'!$B$45/3600*'Infra Cost'!$B$6+'Assumptions'!$B$46/3600*'Assumptions'!$B$47*'Infra Cost'!$B$7+'Assumptions'!$B$53/1024*'Infra Cost'!$B$23)</x:f>
        <x:v>1.3049739583333333</x:v>
      </x:c>
      <x:c r="E29" s="340" t="n">
        <x:f>('Assumptions'!$B$15+$C$7*'Assumptions'!$B$14/1024/2)*'Assumptions'!$B$16*'Infra Cost'!$B$14+$C$7*2/1000*'Infra Cost'!$B$15+($C$7*6+$D$7*0.2)/1000*'Infra Cost'!$B$16+'Assumptions'!$B$17*'Infra Cost'!$B$21+'Assumptions'!$B$55*'Infra Cost'!$B$24</x:f>
        <x:v>1.7777044375000002</x:v>
      </x:c>
      <x:c r="F29" s="340" t="n">
        <x:f>SUM(B29:E29)</x:f>
        <x:v>9.580881368333333</x:v>
      </x:c>
      <x:c r="G29" s="73" t="str">
        <x:v>Matches the main average-case model</x:v>
      </x:c>
      <x:c r="H29" s="71"/>
      <x:c r="I29" s="71"/>
      <x:c r="J29" s="71"/>
      <x:c r="K29" s="71"/>
    </x:row>
    <x:row r="30">
      <x:c r="A30" s="78" t="str">
        <x:v>CHECK — monthly portfolio</x:v>
      </x:c>
      <x:c r="B30" s="346" t="n">
        <x:v>0</x:v>
      </x:c>
      <x:c r="C30" s="346" t="n">
        <x:v>0</x:v>
      </x:c>
      <x:c r="D30" s="346" t="n">
        <x:v>0</x:v>
      </x:c>
      <x:c r="E30" s="346" t="n">
        <x:v>0</x:v>
      </x:c>
      <x:c r="F30" s="346" t="n">
        <x:f>F29-'Infra Cost'!$H$57</x:f>
        <x:v>0</x:v>
      </x:c>
      <x:c r="G30" s="78" t="str">
        <x:v>Difference versus Infra Cost total; should be zero</x:v>
      </x:c>
      <x:c r="H30" s="71"/>
      <x:c r="I30" s="71"/>
      <x:c r="J30" s="71"/>
      <x:c r="K30" s="71"/>
    </x:row>
    <x:row r="31">
      <x:c r="A31" s="71"/>
      <x:c r="B31" s="71"/>
      <x:c r="C31" s="71"/>
      <x:c r="D31" s="71"/>
      <x:c r="E31" s="71"/>
      <x:c r="F31" s="71"/>
      <x:c r="G31" s="71"/>
      <x:c r="H31" s="71"/>
      <x:c r="I31" s="71"/>
      <x:c r="J31" s="71"/>
      <x:c r="K31" s="71"/>
    </x:row>
    <x:row r="32">
      <x:c r="A32" s="71"/>
      <x:c r="B32" s="71"/>
      <x:c r="C32" s="71"/>
      <x:c r="D32" s="71"/>
      <x:c r="E32" s="71"/>
      <x:c r="F32" s="71"/>
      <x:c r="G32" s="71"/>
      <x:c r="H32" s="71"/>
      <x:c r="I32" s="71"/>
      <x:c r="J32" s="71"/>
      <x:c r="K32" s="71"/>
    </x:row>
    <x:row r="33">
      <x:c r="A33" s="310" t="str">
        <x:v>Token caveat: PageIndex usage is an estimate of 25K fixed input tokens + 900 input tokens/page and 2K fixed output tokens + 90 output tokens/page. Gemini output is priced at the thinking-output rate because thinking is not disabled. Infrastructure includes both workload-variable meters and the fixed footprint retained for the month; a dedicated PageIndex EC2 orchestrator remains excluded because it is not provisioned or sized in the supplied Terraform.</x:v>
      </x:c>
      <x:c r="B33" s="311" t="str">
        <x:v>Token caveat: PageIndex usage is an estimate of 25K fixed input tokens + 900 input tokens/page and 2K fixed output tokens + 90 output tokens/page. Gemini output is priced at the thinking-output rate because thinking is not disabled. Infrastructure includes both workload-variable meters and the fixed footprint retained for the month; a dedicated PageIndex EC2 orchestrator remains excluded because it is not provisioned or sized in the supplied Terraform.</x:v>
      </x:c>
      <x:c r="C33" s="311" t="str">
        <x:v>Token caveat: PageIndex usage is an estimate of 25K fixed input tokens + 900 input tokens/page and 2K fixed output tokens + 90 output tokens/page. Gemini output is priced at the thinking-output rate because thinking is not disabled. Infrastructure includes both workload-variable meters and the fixed footprint retained for the month; a dedicated PageIndex EC2 orchestrator remains excluded because it is not provisioned or sized in the supplied Terraform.</x:v>
      </x:c>
      <x:c r="D33" s="311" t="str">
        <x:v>Token caveat: PageIndex usage is an estimate of 25K fixed input tokens + 900 input tokens/page and 2K fixed output tokens + 90 output tokens/page. Gemini output is priced at the thinking-output rate because thinking is not disabled. Infrastructure includes both workload-variable meters and the fixed footprint retained for the month; a dedicated PageIndex EC2 orchestrator remains excluded because it is not provisioned or sized in the supplied Terraform.</x:v>
      </x:c>
      <x:c r="E33" s="311" t="str">
        <x:v>Token caveat: PageIndex usage is an estimate of 25K fixed input tokens + 900 input tokens/page and 2K fixed output tokens + 90 output tokens/page. Gemini output is priced at the thinking-output rate because thinking is not disabled. Infrastructure includes both workload-variable meters and the fixed footprint retained for the month; a dedicated PageIndex EC2 orchestrator remains excluded because it is not provisioned or sized in the supplied Terraform.</x:v>
      </x:c>
      <x:c r="F33" s="311" t="str">
        <x:v>Token caveat: PageIndex usage is an estimate of 25K fixed input tokens + 900 input tokens/page and 2K fixed output tokens + 90 output tokens/page. Gemini output is priced at the thinking-output rate because thinking is not disabled. Infrastructure includes both workload-variable meters and the fixed footprint retained for the month; a dedicated PageIndex EC2 orchestrator remains excluded because it is not provisioned or sized in the supplied Terraform.</x:v>
      </x:c>
      <x:c r="G33" s="311" t="str">
        <x:v>Token caveat: PageIndex usage is an estimate of 25K fixed input tokens + 900 input tokens/page and 2K fixed output tokens + 90 output tokens/page. Gemini output is priced at the thinking-output rate because thinking is not disabled. Infrastructure includes both workload-variable meters and the fixed footprint retained for the month; a dedicated PageIndex EC2 orchestrator remains excluded because it is not provisioned or sized in the supplied Terraform.</x:v>
      </x:c>
      <x:c r="H33" s="311" t="str">
        <x:v>Token caveat: PageIndex usage is an estimate of 25K fixed input tokens + 900 input tokens/page and 2K fixed output tokens + 90 output tokens/page. Gemini output is priced at the thinking-output rate because thinking is not disabled. Infrastructure includes both workload-variable meters and the fixed footprint retained for the month; a dedicated PageIndex EC2 orchestrator remains excluded because it is not provisioned or sized in the supplied Terraform.</x:v>
      </x:c>
      <x:c r="I33" s="311" t="str">
        <x:v>Token caveat: PageIndex usage is an estimate of 25K fixed input tokens + 900 input tokens/page and 2K fixed output tokens + 90 output tokens/page. Gemini output is priced at the thinking-output rate because thinking is not disabled. Infrastructure includes both workload-variable meters and the fixed footprint retained for the month; a dedicated PageIndex EC2 orchestrator remains excluded because it is not provisioned or sized in the supplied Terraform.</x:v>
      </x:c>
      <x:c r="J33" s="311" t="str">
        <x:v>Token caveat: PageIndex usage is an estimate of 25K fixed input tokens + 900 input tokens/page and 2K fixed output tokens + 90 output tokens/page. Gemini output is priced at the thinking-output rate because thinking is not disabled. Infrastructure includes both workload-variable meters and the fixed footprint retained for the month; a dedicated PageIndex EC2 orchestrator remains excluded because it is not provisioned or sized in the supplied Terraform.</x:v>
      </x:c>
      <x:c r="K33" s="312" t="str">
        <x:v>Token caveat: PageIndex usage is an estimate of 25K fixed input tokens + 900 input tokens/page and 2K fixed output tokens + 90 output tokens/page. Gemini output is priced at the thinking-output rate because thinking is not disabled. Infrastructure includes both workload-variable meters and the fixed footprint retained for the month; a dedicated PageIndex EC2 orchestrator remains excluded because it is not provisioned or sized in the supplied Terraform.</x:v>
      </x:c>
    </x:row>
    <x:row r="34">
      <x:c r="A34" s="313" t="str">
        <x:v>Token caveat: PageIndex usage is an estimate of 25K fixed input tokens + 900 input tokens/page and 2K fixed output tokens + 90 output tokens/page. Gemini output is priced at the thinking-output rate because thinking is not disabled. Infrastructure includes both workload-variable meters and the fixed footprint retained for the month; a dedicated PageIndex EC2 orchestrator remains excluded because it is not provisioned or sized in the supplied Terraform.</x:v>
      </x:c>
      <x:c r="B34" s="314" t="str">
        <x:v>Token caveat: PageIndex usage is an estimate of 25K fixed input tokens + 900 input tokens/page and 2K fixed output tokens + 90 output tokens/page. Gemini output is priced at the thinking-output rate because thinking is not disabled. Infrastructure includes both workload-variable meters and the fixed footprint retained for the month; a dedicated PageIndex EC2 orchestrator remains excluded because it is not provisioned or sized in the supplied Terraform.</x:v>
      </x:c>
      <x:c r="C34" s="314" t="str">
        <x:v>Token caveat: PageIndex usage is an estimate of 25K fixed input tokens + 900 input tokens/page and 2K fixed output tokens + 90 output tokens/page. Gemini output is priced at the thinking-output rate because thinking is not disabled. Infrastructure includes both workload-variable meters and the fixed footprint retained for the month; a dedicated PageIndex EC2 orchestrator remains excluded because it is not provisioned or sized in the supplied Terraform.</x:v>
      </x:c>
      <x:c r="D34" s="314" t="str">
        <x:v>Token caveat: PageIndex usage is an estimate of 25K fixed input tokens + 900 input tokens/page and 2K fixed output tokens + 90 output tokens/page. Gemini output is priced at the thinking-output rate because thinking is not disabled. Infrastructure includes both workload-variable meters and the fixed footprint retained for the month; a dedicated PageIndex EC2 orchestrator remains excluded because it is not provisioned or sized in the supplied Terraform.</x:v>
      </x:c>
      <x:c r="E34" s="314" t="str">
        <x:v>Token caveat: PageIndex usage is an estimate of 25K fixed input tokens + 900 input tokens/page and 2K fixed output tokens + 90 output tokens/page. Gemini output is priced at the thinking-output rate because thinking is not disabled. Infrastructure includes both workload-variable meters and the fixed footprint retained for the month; a dedicated PageIndex EC2 orchestrator remains excluded because it is not provisioned or sized in the supplied Terraform.</x:v>
      </x:c>
      <x:c r="F34" s="314" t="str">
        <x:v>Token caveat: PageIndex usage is an estimate of 25K fixed input tokens + 900 input tokens/page and 2K fixed output tokens + 90 output tokens/page. Gemini output is priced at the thinking-output rate because thinking is not disabled. Infrastructure includes both workload-variable meters and the fixed footprint retained for the month; a dedicated PageIndex EC2 orchestrator remains excluded because it is not provisioned or sized in the supplied Terraform.</x:v>
      </x:c>
      <x:c r="G34" s="314" t="str">
        <x:v>Token caveat: PageIndex usage is an estimate of 25K fixed input tokens + 900 input tokens/page and 2K fixed output tokens + 90 output tokens/page. Gemini output is priced at the thinking-output rate because thinking is not disabled. Infrastructure includes both workload-variable meters and the fixed footprint retained for the month; a dedicated PageIndex EC2 orchestrator remains excluded because it is not provisioned or sized in the supplied Terraform.</x:v>
      </x:c>
      <x:c r="H34" s="314" t="str">
        <x:v>Token caveat: PageIndex usage is an estimate of 25K fixed input tokens + 900 input tokens/page and 2K fixed output tokens + 90 output tokens/page. Gemini output is priced at the thinking-output rate because thinking is not disabled. Infrastructure includes both workload-variable meters and the fixed footprint retained for the month; a dedicated PageIndex EC2 orchestrator remains excluded because it is not provisioned or sized in the supplied Terraform.</x:v>
      </x:c>
      <x:c r="I34" s="314" t="str">
        <x:v>Token caveat: PageIndex usage is an estimate of 25K fixed input tokens + 900 input tokens/page and 2K fixed output tokens + 90 output tokens/page. Gemini output is priced at the thinking-output rate because thinking is not disabled. Infrastructure includes both workload-variable meters and the fixed footprint retained for the month; a dedicated PageIndex EC2 orchestrator remains excluded because it is not provisioned or sized in the supplied Terraform.</x:v>
      </x:c>
      <x:c r="J34" s="314" t="str">
        <x:v>Token caveat: PageIndex usage is an estimate of 25K fixed input tokens + 900 input tokens/page and 2K fixed output tokens + 90 output tokens/page. Gemini output is priced at the thinking-output rate because thinking is not disabled. Infrastructure includes both workload-variable meters and the fixed footprint retained for the month; a dedicated PageIndex EC2 orchestrator remains excluded because it is not provisioned or sized in the supplied Terraform.</x:v>
      </x:c>
      <x:c r="K34" s="315" t="str">
        <x:v>Token caveat: PageIndex usage is an estimate of 25K fixed input tokens + 900 input tokens/page and 2K fixed output tokens + 90 output tokens/page. Gemini output is priced at the thinking-output rate because thinking is not disabled. Infrastructure includes both workload-variable meters and the fixed footprint retained for the month; a dedicated PageIndex EC2 orchestrator remains excluded because it is not provisioned or sized in the supplied Terraform.</x:v>
      </x:c>
    </x:row>
    <x:row r="35">
      <x:c r="A35" s="313" t="str">
        <x:v>Token caveat: PageIndex usage is an estimate of 25K fixed input tokens + 900 input tokens/page and 2K fixed output tokens + 90 output tokens/page. Gemini output is priced at the thinking-output rate because thinking is not disabled. Infrastructure includes both workload-variable meters and the fixed footprint retained for the month; a dedicated PageIndex EC2 orchestrator remains excluded because it is not provisioned or sized in the supplied Terraform.</x:v>
      </x:c>
      <x:c r="B35" s="314" t="str">
        <x:v>Token caveat: PageIndex usage is an estimate of 25K fixed input tokens + 900 input tokens/page and 2K fixed output tokens + 90 output tokens/page. Gemini output is priced at the thinking-output rate because thinking is not disabled. Infrastructure includes both workload-variable meters and the fixed footprint retained for the month; a dedicated PageIndex EC2 orchestrator remains excluded because it is not provisioned or sized in the supplied Terraform.</x:v>
      </x:c>
      <x:c r="C35" s="314" t="str">
        <x:v>Token caveat: PageIndex usage is an estimate of 25K fixed input tokens + 900 input tokens/page and 2K fixed output tokens + 90 output tokens/page. Gemini output is priced at the thinking-output rate because thinking is not disabled. Infrastructure includes both workload-variable meters and the fixed footprint retained for the month; a dedicated PageIndex EC2 orchestrator remains excluded because it is not provisioned or sized in the supplied Terraform.</x:v>
      </x:c>
      <x:c r="D35" s="314" t="str">
        <x:v>Token caveat: PageIndex usage is an estimate of 25K fixed input tokens + 900 input tokens/page and 2K fixed output tokens + 90 output tokens/page. Gemini output is priced at the thinking-output rate because thinking is not disabled. Infrastructure includes both workload-variable meters and the fixed footprint retained for the month; a dedicated PageIndex EC2 orchestrator remains excluded because it is not provisioned or sized in the supplied Terraform.</x:v>
      </x:c>
      <x:c r="E35" s="314" t="str">
        <x:v>Token caveat: PageIndex usage is an estimate of 25K fixed input tokens + 900 input tokens/page and 2K fixed output tokens + 90 output tokens/page. Gemini output is priced at the thinking-output rate because thinking is not disabled. Infrastructure includes both workload-variable meters and the fixed footprint retained for the month; a dedicated PageIndex EC2 orchestrator remains excluded because it is not provisioned or sized in the supplied Terraform.</x:v>
      </x:c>
      <x:c r="F35" s="314" t="str">
        <x:v>Token caveat: PageIndex usage is an estimate of 25K fixed input tokens + 900 input tokens/page and 2K fixed output tokens + 90 output tokens/page. Gemini output is priced at the thinking-output rate because thinking is not disabled. Infrastructure includes both workload-variable meters and the fixed footprint retained for the month; a dedicated PageIndex EC2 orchestrator remains excluded because it is not provisioned or sized in the supplied Terraform.</x:v>
      </x:c>
      <x:c r="G35" s="314" t="str">
        <x:v>Token caveat: PageIndex usage is an estimate of 25K fixed input tokens + 900 input tokens/page and 2K fixed output tokens + 90 output tokens/page. Gemini output is priced at the thinking-output rate because thinking is not disabled. Infrastructure includes both workload-variable meters and the fixed footprint retained for the month; a dedicated PageIndex EC2 orchestrator remains excluded because it is not provisioned or sized in the supplied Terraform.</x:v>
      </x:c>
      <x:c r="H35" s="314" t="str">
        <x:v>Token caveat: PageIndex usage is an estimate of 25K fixed input tokens + 900 input tokens/page and 2K fixed output tokens + 90 output tokens/page. Gemini output is priced at the thinking-output rate because thinking is not disabled. Infrastructure includes both workload-variable meters and the fixed footprint retained for the month; a dedicated PageIndex EC2 orchestrator remains excluded because it is not provisioned or sized in the supplied Terraform.</x:v>
      </x:c>
      <x:c r="I35" s="314" t="str">
        <x:v>Token caveat: PageIndex usage is an estimate of 25K fixed input tokens + 900 input tokens/page and 2K fixed output tokens + 90 output tokens/page. Gemini output is priced at the thinking-output rate because thinking is not disabled. Infrastructure includes both workload-variable meters and the fixed footprint retained for the month; a dedicated PageIndex EC2 orchestrator remains excluded because it is not provisioned or sized in the supplied Terraform.</x:v>
      </x:c>
      <x:c r="J35" s="314" t="str">
        <x:v>Token caveat: PageIndex usage is an estimate of 25K fixed input tokens + 900 input tokens/page and 2K fixed output tokens + 90 output tokens/page. Gemini output is priced at the thinking-output rate because thinking is not disabled. Infrastructure includes both workload-variable meters and the fixed footprint retained for the month; a dedicated PageIndex EC2 orchestrator remains excluded because it is not provisioned or sized in the supplied Terraform.</x:v>
      </x:c>
      <x:c r="K35" s="315" t="str">
        <x:v>Token caveat: PageIndex usage is an estimate of 25K fixed input tokens + 900 input tokens/page and 2K fixed output tokens + 90 output tokens/page. Gemini output is priced at the thinking-output rate because thinking is not disabled. Infrastructure includes both workload-variable meters and the fixed footprint retained for the month; a dedicated PageIndex EC2 orchestrator remains excluded because it is not provisioned or sized in the supplied Terraform.</x:v>
      </x:c>
    </x:row>
    <x:row r="36">
      <x:c r="A36" s="316" t="str">
        <x:v>Token caveat: PageIndex usage is an estimate of 25K fixed input tokens + 900 input tokens/page and 2K fixed output tokens + 90 output tokens/page. Gemini output is priced at the thinking-output rate because thinking is not disabled. Infrastructure includes both workload-variable meters and the fixed footprint retained for the month; a dedicated PageIndex EC2 orchestrator remains excluded because it is not provisioned or sized in the supplied Terraform.</x:v>
      </x:c>
      <x:c r="B36" s="317" t="str">
        <x:v>Token caveat: PageIndex usage is an estimate of 25K fixed input tokens + 900 input tokens/page and 2K fixed output tokens + 90 output tokens/page. Gemini output is priced at the thinking-output rate because thinking is not disabled. Infrastructure includes both workload-variable meters and the fixed footprint retained for the month; a dedicated PageIndex EC2 orchestrator remains excluded because it is not provisioned or sized in the supplied Terraform.</x:v>
      </x:c>
      <x:c r="C36" s="317" t="str">
        <x:v>Token caveat: PageIndex usage is an estimate of 25K fixed input tokens + 900 input tokens/page and 2K fixed output tokens + 90 output tokens/page. Gemini output is priced at the thinking-output rate because thinking is not disabled. Infrastructure includes both workload-variable meters and the fixed footprint retained for the month; a dedicated PageIndex EC2 orchestrator remains excluded because it is not provisioned or sized in the supplied Terraform.</x:v>
      </x:c>
      <x:c r="D36" s="317" t="str">
        <x:v>Token caveat: PageIndex usage is an estimate of 25K fixed input tokens + 900 input tokens/page and 2K fixed output tokens + 90 output tokens/page. Gemini output is priced at the thinking-output rate because thinking is not disabled. Infrastructure includes both workload-variable meters and the fixed footprint retained for the month; a dedicated PageIndex EC2 orchestrator remains excluded because it is not provisioned or sized in the supplied Terraform.</x:v>
      </x:c>
      <x:c r="E36" s="317" t="str">
        <x:v>Token caveat: PageIndex usage is an estimate of 25K fixed input tokens + 900 input tokens/page and 2K fixed output tokens + 90 output tokens/page. Gemini output is priced at the thinking-output rate because thinking is not disabled. Infrastructure includes both workload-variable meters and the fixed footprint retained for the month; a dedicated PageIndex EC2 orchestrator remains excluded because it is not provisioned or sized in the supplied Terraform.</x:v>
      </x:c>
      <x:c r="F36" s="317" t="str">
        <x:v>Token caveat: PageIndex usage is an estimate of 25K fixed input tokens + 900 input tokens/page and 2K fixed output tokens + 90 output tokens/page. Gemini output is priced at the thinking-output rate because thinking is not disabled. Infrastructure includes both workload-variable meters and the fixed footprint retained for the month; a dedicated PageIndex EC2 orchestrator remains excluded because it is not provisioned or sized in the supplied Terraform.</x:v>
      </x:c>
      <x:c r="G36" s="317" t="str">
        <x:v>Token caveat: PageIndex usage is an estimate of 25K fixed input tokens + 900 input tokens/page and 2K fixed output tokens + 90 output tokens/page. Gemini output is priced at the thinking-output rate because thinking is not disabled. Infrastructure includes both workload-variable meters and the fixed footprint retained for the month; a dedicated PageIndex EC2 orchestrator remains excluded because it is not provisioned or sized in the supplied Terraform.</x:v>
      </x:c>
      <x:c r="H36" s="317" t="str">
        <x:v>Token caveat: PageIndex usage is an estimate of 25K fixed input tokens + 900 input tokens/page and 2K fixed output tokens + 90 output tokens/page. Gemini output is priced at the thinking-output rate because thinking is not disabled. Infrastructure includes both workload-variable meters and the fixed footprint retained for the month; a dedicated PageIndex EC2 orchestrator remains excluded because it is not provisioned or sized in the supplied Terraform.</x:v>
      </x:c>
      <x:c r="I36" s="317" t="str">
        <x:v>Token caveat: PageIndex usage is an estimate of 25K fixed input tokens + 900 input tokens/page and 2K fixed output tokens + 90 output tokens/page. Gemini output is priced at the thinking-output rate because thinking is not disabled. Infrastructure includes both workload-variable meters and the fixed footprint retained for the month; a dedicated PageIndex EC2 orchestrator remains excluded because it is not provisioned or sized in the supplied Terraform.</x:v>
      </x:c>
      <x:c r="J36" s="317" t="str">
        <x:v>Token caveat: PageIndex usage is an estimate of 25K fixed input tokens + 900 input tokens/page and 2K fixed output tokens + 90 output tokens/page. Gemini output is priced at the thinking-output rate because thinking is not disabled. Infrastructure includes both workload-variable meters and the fixed footprint retained for the month; a dedicated PageIndex EC2 orchestrator remains excluded because it is not provisioned or sized in the supplied Terraform.</x:v>
      </x:c>
      <x:c r="K36" s="318" t="str">
        <x:v>Token caveat: PageIndex usage is an estimate of 25K fixed input tokens + 900 input tokens/page and 2K fixed output tokens + 90 output tokens/page. Gemini output is priced at the thinking-output rate because thinking is not disabled. Infrastructure includes both workload-variable meters and the fixed footprint retained for the month; a dedicated PageIndex EC2 orchestrator remains excluded because it is not provisioned or sized in the supplied Terraform.</x:v>
      </x:c>
    </x:row>
  </x:sheetData>
  <x:mergeCells>
    <x:mergeCell ref="A1:K1"/>
    <x:mergeCell ref="A2:K2"/>
    <x:mergeCell ref="A4:K4"/>
    <x:mergeCell ref="A10:H10"/>
    <x:mergeCell ref="A26:G26"/>
    <x:mergeCell ref="A33:K36"/>
  </x:mergeCells>
  <x:conditionalFormatting sqref="F30:F30">
    <x:cfRule type="cellIs" dxfId="0" priority="1" operator="equal">
      <x:formula>0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6" hidden="0" customWidth="1"/>
    <x:col min="3" max="3" width="16" hidden="0" customWidth="1"/>
    <x:col min="4" max="4" width="16" hidden="0" customWidth="1"/>
    <x:col min="5" max="5" width="13" hidden="0" customWidth="1"/>
    <x:col min="6" max="6" width="12" hidden="0" customWidth="1"/>
    <x:col min="7" max="7" width="48" hidden="0" customWidth="1"/>
  </x:cols>
  <x:sheetData>
    <x:row r="1" ht="34" customHeight="1">
      <x:c r="A1" s="70" t="str">
        <x:v>Model Checks</x:v>
      </x:c>
      <x:c r="B1" s="70" t="str">
        <x:v>Model Checks</x:v>
      </x:c>
      <x:c r="C1" s="70" t="str">
        <x:v>Model Checks</x:v>
      </x:c>
      <x:c r="D1" s="70" t="str">
        <x:v>Model Checks</x:v>
      </x:c>
      <x:c r="E1" s="70" t="str">
        <x:v>Model Checks</x:v>
      </x:c>
      <x:c r="F1" s="70" t="str">
        <x:v>Model Checks</x:v>
      </x:c>
      <x:c r="G1" s="70" t="str">
        <x:v>Model Checks</x:v>
      </x:c>
    </x:row>
    <x:row r="2">
      <x:c r="A2" s="347" t="str">
        <x:v>MODEL STATUS</x:v>
      </x:c>
      <x:c r="B2" s="347" t="str">
        <x:f>IF(COUNTIF(F6:F13,"FAIL")=0,"PASS","FAIL")</x:f>
        <x:v>PASS</x:v>
      </x:c>
      <x:c r="C2" s="348" t="str">
        <x:v>All checks should read OK before the cost model is used for budgeting.</x:v>
      </x:c>
      <x:c r="D2" s="348" t="str">
        <x:v>All checks should read OK before the cost model is used for budgeting.</x:v>
      </x:c>
      <x:c r="E2" s="348" t="str">
        <x:v>All checks should read OK before the cost model is used for budgeting.</x:v>
      </x:c>
      <x:c r="F2" s="348" t="str">
        <x:v>All checks should read OK before the cost model is used for budgeting.</x:v>
      </x:c>
      <x:c r="G2" s="348" t="str">
        <x:v>All checks should read OK before the cost model is used for budgeting.</x:v>
      </x:c>
    </x:row>
    <x:row r="3">
      <x:c r="A3" s="71"/>
      <x:c r="B3" s="71"/>
      <x:c r="C3" s="71"/>
      <x:c r="D3" s="71"/>
      <x:c r="E3" s="71"/>
      <x:c r="F3" s="71"/>
      <x:c r="G3" s="71"/>
    </x:row>
    <x:row r="4">
      <x:c r="A4" s="71"/>
      <x:c r="B4" s="71"/>
      <x:c r="C4" s="71"/>
      <x:c r="D4" s="71"/>
      <x:c r="E4" s="71"/>
      <x:c r="F4" s="71"/>
      <x:c r="G4" s="71"/>
    </x:row>
    <x:row r="5">
      <x:c r="A5" s="44" t="str">
        <x:v>Check</x:v>
      </x:c>
      <x:c r="B5" s="44" t="str">
        <x:v>Actual</x:v>
      </x:c>
      <x:c r="C5" s="44" t="str">
        <x:v>Expected</x:v>
      </x:c>
      <x:c r="D5" s="44" t="str">
        <x:v>Difference</x:v>
      </x:c>
      <x:c r="E5" s="44" t="str">
        <x:v>Tolerance</x:v>
      </x:c>
      <x:c r="F5" s="44" t="str">
        <x:v>Status</x:v>
      </x:c>
      <x:c r="G5" s="44" t="str">
        <x:v>Notes</x:v>
      </x:c>
    </x:row>
    <x:row r="6">
      <x:c r="A6" s="73" t="str">
        <x:v>Reports/month recomputes</x:v>
      </x:c>
      <x:c r="B6" s="329" t="n">
        <x:f>'Assumptions'!$B$10</x:f>
        <x:v>240</x:v>
      </x:c>
      <x:c r="C6" s="329" t="n">
        <x:f>'Assumptions'!$B$8*'Assumptions'!$B$9</x:f>
        <x:v>240</x:v>
      </x:c>
      <x:c r="D6" s="329" t="n">
        <x:f>B6-C6</x:f>
        <x:v>0</x:v>
      </x:c>
      <x:c r="E6" s="349" t="n">
        <x:v>0</x:v>
      </x:c>
      <x:c r="F6" s="73" t="str">
        <x:f>IF(ABS(D6)&lt;=E6,"OK","FAIL")</x:f>
        <x:v>OK</x:v>
      </x:c>
      <x:c r="G6" s="73" t="str">
        <x:v>Companies × reports/company</x:v>
      </x:c>
    </x:row>
    <x:row r="7">
      <x:c r="A7" s="73" t="str">
        <x:v>Questions/month recomputes</x:v>
      </x:c>
      <x:c r="B7" s="329" t="n">
        <x:f>'Assumptions'!$B$12</x:f>
        <x:v>1000</x:v>
      </x:c>
      <x:c r="C7" s="329" t="n">
        <x:f>'Assumptions'!$B$8*'Assumptions'!$B$11</x:f>
        <x:v>1000</x:v>
      </x:c>
      <x:c r="D7" s="329" t="n">
        <x:f>B7-C7</x:f>
        <x:v>0</x:v>
      </x:c>
      <x:c r="E7" s="349" t="n">
        <x:v>0</x:v>
      </x:c>
      <x:c r="F7" s="73" t="str">
        <x:f>IF(ABS(D7)&lt;=E7,"OK","FAIL")</x:f>
        <x:v>OK</x:v>
      </x:c>
      <x:c r="G7" s="73" t="str">
        <x:v>Companies × questions/company</x:v>
      </x:c>
    </x:row>
    <x:row r="8">
      <x:c r="A8" s="73" t="str">
        <x:v>Current model total ties</x:v>
      </x:c>
      <x:c r="B8" s="329" t="n">
        <x:f>'Summary'!$A$5</x:f>
        <x:v>374.68872799999997</x:v>
      </x:c>
      <x:c r="C8" s="329" t="n">
        <x:f>'Model Cost'!$L$22</x:f>
        <x:v>374.68872799999997</x:v>
      </x:c>
      <x:c r="D8" s="329" t="n">
        <x:f>B8-C8</x:f>
        <x:v>0</x:v>
      </x:c>
      <x:c r="E8" s="349" t="n">
        <x:v>0.0001</x:v>
      </x:c>
      <x:c r="F8" s="73" t="str">
        <x:f>IF(ABS(D8)&lt;=E8,"OK","FAIL")</x:f>
        <x:v>OK</x:v>
      </x:c>
      <x:c r="G8" s="73" t="str">
        <x:v>Summary vs Model Cost</x:v>
      </x:c>
    </x:row>
    <x:row r="9">
      <x:c r="A9" s="73" t="str">
        <x:v>Infrastructure total ties</x:v>
      </x:c>
      <x:c r="B9" s="329" t="n">
        <x:f>'Summary'!$C$5</x:f>
        <x:v>9.580881368333333</x:v>
      </x:c>
      <x:c r="C9" s="329" t="n">
        <x:f>'Infra Cost'!$H$57</x:f>
        <x:v>9.580881368333333</x:v>
      </x:c>
      <x:c r="D9" s="329" t="n">
        <x:f>B9-C9</x:f>
        <x:v>0</x:v>
      </x:c>
      <x:c r="E9" s="349" t="n">
        <x:v>0.0001</x:v>
      </x:c>
      <x:c r="F9" s="73" t="str">
        <x:f>IF(ABS(D9)&lt;=E9,"OK","FAIL")</x:f>
        <x:v>OK</x:v>
      </x:c>
      <x:c r="G9" s="73" t="str">
        <x:v>Summary vs Infra Cost</x:v>
      </x:c>
    </x:row>
    <x:row r="10">
      <x:c r="A10" s="73" t="str">
        <x:v>All-in current ties</x:v>
      </x:c>
      <x:c r="B10" s="329" t="n">
        <x:f>'Summary'!$E$5</x:f>
        <x:v>384.2696093683333</x:v>
      </x:c>
      <x:c r="C10" s="329" t="n">
        <x:f>'Summary'!$A$5+'Summary'!$C$5</x:f>
        <x:v>384.2696093683333</x:v>
      </x:c>
      <x:c r="D10" s="329" t="n">
        <x:f>B10-C10</x:f>
        <x:v>0</x:v>
      </x:c>
      <x:c r="E10" s="349" t="n">
        <x:v>0.0001</x:v>
      </x:c>
      <x:c r="F10" s="73" t="str">
        <x:f>IF(ABS(D10)&lt;=E10,"OK","FAIL")</x:f>
        <x:v>OK</x:v>
      </x:c>
      <x:c r="G10" s="73" t="str">
        <x:v>Model + infrastructure</x:v>
      </x:c>
    </x:row>
    <x:row r="11">
      <x:c r="A11" s="73" t="str">
        <x:v>Post-promo is not lower</x:v>
      </x:c>
      <x:c r="B11" s="329" t="n">
        <x:f>IF('Summary'!$G$5&gt;='Summary'!$E$5,1,0)</x:f>
        <x:v>1</x:v>
      </x:c>
      <x:c r="C11" s="329" t="n">
        <x:v>1</x:v>
      </x:c>
      <x:c r="D11" s="329" t="n">
        <x:f>B11-C11</x:f>
        <x:v>0</x:v>
      </x:c>
      <x:c r="E11" s="349" t="n">
        <x:v>0</x:v>
      </x:c>
      <x:c r="F11" s="73" t="str">
        <x:f>IF(ABS(D11)&lt;=E11,"OK","FAIL")</x:f>
        <x:v>OK</x:v>
      </x:c>
      <x:c r="G11" s="73" t="str">
        <x:v>Sonnet 5 rate increases after 2026-08-31</x:v>
      </x:c>
    </x:row>
    <x:row r="12">
      <x:c r="A12" s="73" t="str">
        <x:v>No negative model costs</x:v>
      </x:c>
      <x:c r="B12" s="329" t="n">
        <x:f>MIN('Model Cost'!$L$14:$L$21)</x:f>
        <x:v>0</x:v>
      </x:c>
      <x:c r="C12" s="329" t="n">
        <x:v>0</x:v>
      </x:c>
      <x:c r="D12" s="329" t="n">
        <x:f>B12-C12</x:f>
        <x:v>0</x:v>
      </x:c>
      <x:c r="E12" s="349" t="n">
        <x:v>0</x:v>
      </x:c>
      <x:c r="F12" s="73" t="str">
        <x:f>IF(B12&gt;=C12,"OK","FAIL")</x:f>
        <x:v>OK</x:v>
      </x:c>
      <x:c r="G12" s="73" t="str">
        <x:v>Minimum model line item</x:v>
      </x:c>
    </x:row>
    <x:row r="13">
      <x:c r="A13" s="78" t="str">
        <x:v>No negative infrastructure costs</x:v>
      </x:c>
      <x:c r="B13" s="350" t="n">
        <x:f>MIN('Infra Cost'!$H$30:$H$56)</x:f>
        <x:v>0.000059999999999999995</x:v>
      </x:c>
      <x:c r="C13" s="350" t="n">
        <x:v>0</x:v>
      </x:c>
      <x:c r="D13" s="350" t="n">
        <x:f>B13-C13</x:f>
        <x:v>0.000059999999999999995</x:v>
      </x:c>
      <x:c r="E13" s="351" t="n">
        <x:v>0</x:v>
      </x:c>
      <x:c r="F13" s="78" t="str">
        <x:f>IF(B13&gt;=C13,"OK","FAIL")</x:f>
        <x:v>OK</x:v>
      </x:c>
      <x:c r="G13" s="78" t="str">
        <x:v>Minimum infrastructure line item</x:v>
      </x:c>
    </x:row>
  </x:sheetData>
  <x:mergeCells>
    <x:mergeCell ref="A1:G1"/>
    <x:mergeCell ref="C2:G2"/>
  </x:mergeCells>
  <x:conditionalFormatting sqref="F6:F13">
    <x:cfRule type="containsText" dxfId="1" priority="1" operator="containsText" text="OK"/>
    <x:cfRule type="containsText" dxfId="2" priority="2" operator="containsText" text="FAIL"/>
  </x:conditionalFormatting>
  <x:conditionalFormatting sqref="B2:B2">
    <x:cfRule type="containsText" dxfId="3" priority="3" operator="containsText" text="PASS"/>
    <x:cfRule type="containsText" dxfId="4" priority="4" operator="containsText" text="FAIL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46" hidden="0" customWidth="1"/>
    <x:col min="4" max="4" width="78" hidden="0" customWidth="1"/>
    <x:col min="5" max="5" width="14" hidden="0" customWidth="1"/>
    <x:col min="6" max="6" width="46" hidden="0" customWidth="1"/>
  </x:cols>
  <x:sheetData>
    <x:row r="1" ht="34" customHeight="1">
      <x:c r="A1" s="70" t="str">
        <x:v>Sources &amp; Audit Trail</x:v>
      </x:c>
      <x:c r="B1" s="70" t="str">
        <x:v>Sources &amp; Audit Trail</x:v>
      </x:c>
      <x:c r="C1" s="70" t="str">
        <x:v>Sources &amp; Audit Trail</x:v>
      </x:c>
      <x:c r="D1" s="70" t="str">
        <x:v>Sources &amp; Audit Trail</x:v>
      </x:c>
      <x:c r="E1" s="70" t="str">
        <x:v>Sources &amp; Audit Trail</x:v>
      </x:c>
      <x:c r="F1" s="70" t="str">
        <x:v>Sources &amp; Audit Trail</x:v>
      </x:c>
    </x:row>
    <x:row r="2" ht="30" customHeight="1">
      <x:c r="A2" s="41" t="str">
        <x:v>Local implementation evidence and official public pricing pages used in the model.</x:v>
      </x:c>
      <x:c r="B2" s="41" t="str">
        <x:v>Local implementation evidence and official public pricing pages used in the model.</x:v>
      </x:c>
      <x:c r="C2" s="41" t="str">
        <x:v>Local implementation evidence and official public pricing pages used in the model.</x:v>
      </x:c>
      <x:c r="D2" s="41" t="str">
        <x:v>Local implementation evidence and official public pricing pages used in the model.</x:v>
      </x:c>
      <x:c r="E2" s="41" t="str">
        <x:v>Local implementation evidence and official public pricing pages used in the model.</x:v>
      </x:c>
      <x:c r="F2" s="41" t="str">
        <x:v>Local implementation evidence and official public pricing pages used in the model.</x:v>
      </x:c>
    </x:row>
    <x:row r="3">
      <x:c r="A3" s="71"/>
      <x:c r="B3" s="71"/>
      <x:c r="C3" s="71"/>
      <x:c r="D3" s="71"/>
      <x:c r="E3" s="71"/>
      <x:c r="F3" s="71"/>
    </x:row>
    <x:row r="4">
      <x:c r="A4" s="44" t="str">
        <x:v>Category</x:v>
      </x:c>
      <x:c r="B4" s="44" t="str">
        <x:v>Item</x:v>
      </x:c>
      <x:c r="C4" s="44" t="str">
        <x:v>Observed value / use</x:v>
      </x:c>
      <x:c r="D4" s="44" t="str">
        <x:v>Source</x:v>
      </x:c>
      <x:c r="E4" s="44" t="str">
        <x:v>Accessed</x:v>
      </x:c>
      <x:c r="F4" s="44" t="str">
        <x:v>Notes</x:v>
      </x:c>
    </x:row>
    <x:row r="5">
      <x:c r="A5" s="73" t="str">
        <x:v>Local code</x:v>
      </x:c>
      <x:c r="B5" s="73" t="str">
        <x:v>Download agent models</x:v>
      </x:c>
      <x:c r="C5" s="73" t="str">
        <x:v>Claude Sonnet 5; Gemini 2.5 Flash; Nova 2 Lite fallback</x:v>
      </x:c>
      <x:c r="D5" s="73" t="str">
        <x:v>/Users/abhay/Documents/csa-project/agents/download-agent/locals.tf</x:v>
      </x:c>
      <x:c r="E5" s="352" t="n">
        <x:v>46231</x:v>
      </x:c>
      <x:c r="F5" s="73" t="str">
        <x:v>terraform.tfvars also sets llm_model_id to Sonnet 5</x:v>
      </x:c>
    </x:row>
    <x:row r="6">
      <x:c r="A6" s="73" t="str">
        <x:v>Local code</x:v>
      </x:c>
      <x:c r="B6" s="73" t="str">
        <x:v>Vertex Lambda</x:v>
      </x:c>
      <x:c r="C6" s="73" t="str">
        <x:v>512 MB ARM64; 900s timeout; Gemini 2.5 Flash</x:v>
      </x:c>
      <x:c r="D6" s="73" t="str">
        <x:v>/Users/abhay/Documents/csa-project/agents/download-agent/lambda.tf</x:v>
      </x:c>
      <x:c r="E6" s="352" t="n">
        <x:v>46231</x:v>
      </x:c>
      <x:c r="F6" s="73" t="str">
        <x:v>Lambda code omits thinkingConfig, so thinking is dynamic</x:v>
      </x:c>
    </x:row>
    <x:row r="7">
      <x:c r="A7" s="73" t="str">
        <x:v>Local code</x:v>
      </x:c>
      <x:c r="B7" s="73" t="str">
        <x:v>PageIndex model</x:v>
      </x:c>
      <x:c r="C7" s="73" t="str">
        <x:v>Claude Sonnet 4.5 via LiteLLM/Bedrock</x:v>
      </x:c>
      <x:c r="D7" s="73" t="str">
        <x:v>/Users/abhay/Documents/csa-project/pageindex-agentcore/runtime/runtime_handler.py</x:v>
      </x:c>
      <x:c r="E7" s="352" t="n">
        <x:v>46231</x:v>
      </x:c>
      <x:c r="F7" s="73" t="str">
        <x:v>PageIndex library itself is absent from this workspace</x:v>
      </x:c>
    </x:row>
    <x:row r="8">
      <x:c r="A8" s="73" t="str">
        <x:v>Local code</x:v>
      </x:c>
      <x:c r="B8" s="73" t="str">
        <x:v>Answering model</x:v>
      </x:c>
      <x:c r="C8" s="73" t="str">
        <x:v>Claude Sonnet 5; 10 tool calls/question in deployed tfvars</x:v>
      </x:c>
      <x:c r="D8" s="73" t="str">
        <x:v>/Users/abhay/Documents/csa-project/answering_agent/infra/terraform.tfvars</x:v>
      </x:c>
      <x:c r="E8" s="352" t="n">
        <x:v>46231</x:v>
      </x:c>
      <x:c r="F8" s="73" t="str">
        <x:v>Cost uses 6 average LLM turns/question</x:v>
      </x:c>
    </x:row>
    <x:row r="9">
      <x:c r="A9" s="73" t="str">
        <x:v>Pricing</x:v>
      </x:c>
      <x:c r="B9" s="73" t="str">
        <x:v>Amazon Bedrock models</x:v>
      </x:c>
      <x:c r="C9" s="73" t="str">
        <x:v>Sonnet 5 $2/$10 promo; then $3/$15; Sonnet 4.5 $3/$15</x:v>
      </x:c>
      <x:c r="D9" s="73" t="str">
        <x:v>https://aws.amazon.com/bedrock/pricing/</x:v>
      </x:c>
      <x:c r="E9" s="352" t="n">
        <x:v>46231</x:v>
      </x:c>
      <x:c r="F9" s="73" t="str">
        <x:v>USD per 1M input/output tokens</x:v>
      </x:c>
    </x:row>
    <x:row r="10">
      <x:c r="A10" s="73" t="str">
        <x:v>Pricing</x:v>
      </x:c>
      <x:c r="B10" s="73" t="str">
        <x:v>Amazon Nova 2 Lite</x:v>
      </x:c>
      <x:c r="C10" s="73" t="str">
        <x:v>$0.30/$2.50 per 1M input/output tokens</x:v>
      </x:c>
      <x:c r="D10" s="73" t="str">
        <x:v>https://aws.amazon.com/blogs/machine-learning/pair-nova-2-lite-with-claude-for-cost-optimized-document-processing/</x:v>
      </x:c>
      <x:c r="E10" s="352" t="n">
        <x:v>46231</x:v>
      </x:c>
      <x:c r="F10" s="73" t="str">
        <x:v>AWS worked cost example</x:v>
      </x:c>
    </x:row>
    <x:row r="11">
      <x:c r="A11" s="73" t="str">
        <x:v>Pricing</x:v>
      </x:c>
      <x:c r="B11" s="73" t="str">
        <x:v>AgentCore</x:v>
      </x:c>
      <x:c r="C11" s="73" t="str">
        <x:v>$0.0895/vCPU-hour; $0.00945/GB-hour; Web Search $7/1K</x:v>
      </x:c>
      <x:c r="D11" s="73" t="str">
        <x:v>https://aws.amazon.com/bedrock/agentcore/pricing/</x:v>
      </x:c>
      <x:c r="E11" s="352" t="n">
        <x:v>46231</x:v>
      </x:c>
      <x:c r="F11" s="73" t="str">
        <x:v>Runtime and Browser share compute rates</x:v>
      </x:c>
    </x:row>
    <x:row r="12">
      <x:c r="A12" s="73" t="str">
        <x:v>Pricing</x:v>
      </x:c>
      <x:c r="B12" s="73" t="str">
        <x:v>Vertex Gemini 2.5 Flash</x:v>
      </x:c>
      <x:c r="C12" s="73" t="str">
        <x:v>$0.15 input; $3.50 thinking output per 1M</x:v>
      </x:c>
      <x:c r="D12" s="73" t="str">
        <x:v>https://cloud.google.com/vertex-ai/generative-ai/pricing</x:v>
      </x:c>
      <x:c r="E12" s="352" t="n">
        <x:v>46231</x:v>
      </x:c>
      <x:c r="F12" s="73" t="str">
        <x:v>Grounding: 1,500/day free then $35/1K</x:v>
      </x:c>
    </x:row>
    <x:row r="13">
      <x:c r="A13" s="73" t="str">
        <x:v>Pricing</x:v>
      </x:c>
      <x:c r="B13" s="73" t="str">
        <x:v>Vertex thinking behavior</x:v>
      </x:c>
      <x:c r="C13" s="73" t="str">
        <x:v>Dynamic thinking when thinking_budget is omitted</x:v>
      </x:c>
      <x:c r="D13" s="73" t="str">
        <x:v>https://cloud.google.com/vertex-ai/generative-ai/docs/thinking</x:v>
      </x:c>
      <x:c r="E13" s="352" t="n">
        <x:v>46231</x:v>
      </x:c>
      <x:c r="F13" s="73" t="str">
        <x:v>Set thinkingBudget=0 to disable for Gemini 2.5 Flash</x:v>
      </x:c>
    </x:row>
    <x:row r="14">
      <x:c r="A14" s="73" t="str">
        <x:v>Pricing</x:v>
      </x:c>
      <x:c r="B14" s="73" t="str">
        <x:v>AWS Lambda</x:v>
      </x:c>
      <x:c r="C14" s="73" t="str">
        <x:v>ARM $0.0000133334/GB-s; $0.20/1M requests</x:v>
      </x:c>
      <x:c r="D14" s="73" t="str">
        <x:v>https://aws.amazon.com/lambda/pricing/</x:v>
      </x:c>
      <x:c r="E14" s="352" t="n">
        <x:v>46231</x:v>
      </x:c>
      <x:c r="F14" s="73" t="str">
        <x:v>Gross rates; free tier excluded</x:v>
      </x:c>
    </x:row>
    <x:row r="15">
      <x:c r="A15" s="73" t="str">
        <x:v>Pricing</x:v>
      </x:c>
      <x:c r="B15" s="73" t="str">
        <x:v>Amazon S3</x:v>
      </x:c>
      <x:c r="C15" s="73" t="str">
        <x:v>$0.023/GB-month; PUT $0.005/1K; GET $0.0004/1K</x:v>
      </x:c>
      <x:c r="D15" s="73" t="str">
        <x:v>https://aws.amazon.com/s3/pricing/</x:v>
      </x:c>
      <x:c r="E15" s="352" t="n">
        <x:v>46231</x:v>
      </x:c>
      <x:c r="F15" s="73" t="str">
        <x:v>S3 Standard, us-east-1</x:v>
      </x:c>
    </x:row>
    <x:row r="16">
      <x:c r="A16" s="73" t="str">
        <x:v>Pricing</x:v>
      </x:c>
      <x:c r="B16" s="73" t="str">
        <x:v>Amazon DynamoDB</x:v>
      </x:c>
      <x:c r="C16" s="73" t="str">
        <x:v>$0.625/1M writes; $0.125/1M reads; $0.25/GB-month</x:v>
      </x:c>
      <x:c r="D16" s="73" t="str">
        <x:v>https://aws.amazon.com/dynamodb/pricing/</x:v>
      </x:c>
      <x:c r="E16" s="352" t="n">
        <x:v>46231</x:v>
      </x:c>
      <x:c r="F16" s="73" t="str">
        <x:v>On-demand Standard table</x:v>
      </x:c>
    </x:row>
    <x:row r="17">
      <x:c r="A17" s="73" t="str">
        <x:v>Pricing</x:v>
      </x:c>
      <x:c r="B17" s="73" t="str">
        <x:v>Amazon ECR</x:v>
      </x:c>
      <x:c r="C17" s="73" t="str">
        <x:v>$0.10/GB-month private storage</x:v>
      </x:c>
      <x:c r="D17" s="73" t="str">
        <x:v>https://aws.amazon.com/ecr/pricing/</x:v>
      </x:c>
      <x:c r="E17" s="352" t="n">
        <x:v>46231</x:v>
      </x:c>
      <x:c r="F17" s="73" t="str">
        <x:v>Same-region pulls are free</x:v>
      </x:c>
    </x:row>
    <x:row r="18">
      <x:c r="A18" s="73" t="str">
        <x:v>Pricing</x:v>
      </x:c>
      <x:c r="B18" s="73" t="str">
        <x:v>AWS Secrets Manager</x:v>
      </x:c>
      <x:c r="C18" s="73" t="str">
        <x:v>$0.40/secret-month; $0.05/10K API calls</x:v>
      </x:c>
      <x:c r="D18" s="73" t="str">
        <x:v>https://aws.amazon.com/secrets-manager/pricing/</x:v>
      </x:c>
      <x:c r="E18" s="352" t="n">
        <x:v>46231</x:v>
      </x:c>
      <x:c r="F18" s="73" t="str">
        <x:v>API-call cost immaterial at base volume</x:v>
      </x:c>
    </x:row>
    <x:row r="19">
      <x:c r="A19" s="73" t="str">
        <x:v>Pricing</x:v>
      </x:c>
      <x:c r="B19" s="73" t="str">
        <x:v>Amazon CloudWatch</x:v>
      </x:c>
      <x:c r="C19" s="73" t="str">
        <x:v>$0.50/GB logs ingestion first tier</x:v>
      </x:c>
      <x:c r="D19" s="73" t="str">
        <x:v>https://aws.amazon.com/cloudwatch/pricing/</x:v>
      </x:c>
      <x:c r="E19" s="352" t="n">
        <x:v>46231</x:v>
      </x:c>
      <x:c r="F19" s="73" t="str">
        <x:v>Archive rate is an editable estimate</x:v>
      </x:c>
    </x:row>
    <x:row r="20">
      <x:c r="A20" s="73" t="str">
        <x:v>Pricing</x:v>
      </x:c>
      <x:c r="B20" s="73" t="str">
        <x:v>AWS KMS</x:v>
      </x:c>
      <x:c r="C20" s="73" t="str">
        <x:v>$0.03/10K symmetric requests; AWS-managed key has no key fee</x:v>
      </x:c>
      <x:c r="D20" s="73" t="str">
        <x:v>https://aws.amazon.com/kms/pricing/</x:v>
      </x:c>
      <x:c r="E20" s="352" t="n">
        <x:v>46231</x:v>
      </x:c>
      <x:c r="F20" s="73" t="str">
        <x:v>20K request free tier excluded</x:v>
      </x:c>
    </x:row>
    <x:row r="21">
      <x:c r="A21" s="78" t="str">
        <x:v>External library</x:v>
      </x:c>
      <x:c r="B21" s="78" t="str">
        <x:v>VectifyAI PageIndex</x:v>
      </x:c>
      <x:c r="C21" s="78" t="str">
        <x:v>Repeated LLM calls for hierarchical indexing</x:v>
      </x:c>
      <x:c r="D21" s="78" t="str">
        <x:v>https://github.com/VectifyAI/PageIndex</x:v>
      </x:c>
      <x:c r="E21" s="353" t="n">
        <x:v>46231</x:v>
      </x:c>
      <x:c r="F21" s="78" t="str">
        <x:v>Replace estimated tokens with Bedrock usage telemetry</x:v>
      </x:c>
    </x:row>
  </x:sheetData>
  <x:mergeCells>
    <x:mergeCell ref="A1:F1"/>
    <x:mergeCell ref="A2:F2"/>
  </x:mergeCells>
  <x:pageMargins left="0.7" right="0.7" top="0.75" bottom="0.75" header="0.3" footer="0.3"/>
</x:worksheet>
</file>