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abhay_lunkad_spglobal_com/Documents/Desktop/csa-project/outputs/agent-cost-analysis-2026-07-28/"/>
    </mc:Choice>
  </mc:AlternateContent>
  <xr:revisionPtr revIDLastSave="3" documentId="11_4014B39D54DCBC45A9571FC0475933789070BE37" xr6:coauthVersionLast="47" xr6:coauthVersionMax="47" xr10:uidLastSave="{FC6B9800-D33E-904B-A6B3-FB45A7D68D66}"/>
  <bookViews>
    <workbookView xWindow="0" yWindow="1500" windowWidth="38400" windowHeight="19200" xr2:uid="{00000000-000D-0000-FFFF-FFFF00000000}"/>
  </bookViews>
  <sheets>
    <sheet name="Summary" sheetId="1" r:id="rId1"/>
    <sheet name="Assumptions" sheetId="2" r:id="rId2"/>
    <sheet name="Model Cost" sheetId="3" r:id="rId3"/>
    <sheet name="Infra Cost" sheetId="4" r:id="rId4"/>
    <sheet name="Sensitivity" sheetId="5" r:id="rId5"/>
    <sheet name="Scenario Comparison" sheetId="6" r:id="rId6"/>
    <sheet name="Checks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6" i="7"/>
  <c r="E29" i="6"/>
  <c r="D29" i="6"/>
  <c r="C29" i="6"/>
  <c r="B29" i="6"/>
  <c r="F29" i="6" s="1"/>
  <c r="E28" i="6"/>
  <c r="D28" i="6"/>
  <c r="C28" i="6"/>
  <c r="F22" i="6"/>
  <c r="G22" i="6" s="1"/>
  <c r="F21" i="6"/>
  <c r="D21" i="6"/>
  <c r="E21" i="6" s="1"/>
  <c r="C21" i="6"/>
  <c r="G21" i="6" s="1"/>
  <c r="D20" i="6"/>
  <c r="C20" i="6"/>
  <c r="G20" i="6" s="1"/>
  <c r="D19" i="6"/>
  <c r="G18" i="6"/>
  <c r="F18" i="6"/>
  <c r="E18" i="6"/>
  <c r="D18" i="6"/>
  <c r="D23" i="6" s="1"/>
  <c r="G7" i="6" s="1"/>
  <c r="C18" i="6"/>
  <c r="D17" i="6"/>
  <c r="G6" i="6" s="1"/>
  <c r="F16" i="6"/>
  <c r="G16" i="6" s="1"/>
  <c r="G15" i="6"/>
  <c r="E15" i="6"/>
  <c r="D15" i="6"/>
  <c r="C15" i="6"/>
  <c r="F15" i="6" s="1"/>
  <c r="D14" i="6"/>
  <c r="G14" i="6" s="1"/>
  <c r="C14" i="6"/>
  <c r="F14" i="6" s="1"/>
  <c r="G13" i="6"/>
  <c r="D13" i="6"/>
  <c r="C13" i="6"/>
  <c r="F13" i="6" s="1"/>
  <c r="F12" i="6"/>
  <c r="E12" i="6"/>
  <c r="D12" i="6"/>
  <c r="C12" i="6"/>
  <c r="C17" i="6" s="1"/>
  <c r="F6" i="6" s="1"/>
  <c r="E7" i="6"/>
  <c r="C19" i="6" s="1"/>
  <c r="E6" i="6"/>
  <c r="G8" i="5"/>
  <c r="F8" i="5"/>
  <c r="G7" i="5"/>
  <c r="F7" i="5"/>
  <c r="E7" i="5"/>
  <c r="D7" i="5"/>
  <c r="C7" i="5"/>
  <c r="B7" i="5"/>
  <c r="G6" i="5"/>
  <c r="F6" i="5"/>
  <c r="G56" i="4"/>
  <c r="F56" i="4"/>
  <c r="H56" i="4" s="1"/>
  <c r="E56" i="4"/>
  <c r="G55" i="4"/>
  <c r="E55" i="4"/>
  <c r="B28" i="6" s="1"/>
  <c r="F28" i="6" s="1"/>
  <c r="I6" i="6" s="1"/>
  <c r="G54" i="4"/>
  <c r="E54" i="4"/>
  <c r="F54" i="4" s="1"/>
  <c r="H54" i="4" s="1"/>
  <c r="G53" i="4"/>
  <c r="E53" i="4"/>
  <c r="D53" i="4"/>
  <c r="F53" i="4" s="1"/>
  <c r="H53" i="4" s="1"/>
  <c r="G52" i="4"/>
  <c r="E52" i="4"/>
  <c r="G51" i="4"/>
  <c r="G50" i="4"/>
  <c r="H50" i="4" s="1"/>
  <c r="G49" i="4"/>
  <c r="E49" i="4"/>
  <c r="F49" i="4" s="1"/>
  <c r="H49" i="4" s="1"/>
  <c r="G48" i="4"/>
  <c r="F48" i="4"/>
  <c r="H48" i="4" s="1"/>
  <c r="E48" i="4"/>
  <c r="G47" i="4"/>
  <c r="E47" i="4"/>
  <c r="F47" i="4" s="1"/>
  <c r="H47" i="4" s="1"/>
  <c r="G46" i="4"/>
  <c r="E46" i="4"/>
  <c r="G45" i="4"/>
  <c r="E45" i="4"/>
  <c r="G44" i="4"/>
  <c r="E44" i="4"/>
  <c r="F44" i="4" s="1"/>
  <c r="H44" i="4" s="1"/>
  <c r="G43" i="4"/>
  <c r="E43" i="4"/>
  <c r="G42" i="4"/>
  <c r="G41" i="4"/>
  <c r="E41" i="4"/>
  <c r="G40" i="4"/>
  <c r="E40" i="4"/>
  <c r="G39" i="4"/>
  <c r="E39" i="4"/>
  <c r="G38" i="4"/>
  <c r="E38" i="4"/>
  <c r="G37" i="4"/>
  <c r="E37" i="4"/>
  <c r="D37" i="4"/>
  <c r="F37" i="4" s="1"/>
  <c r="H37" i="4" s="1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E29" i="2"/>
  <c r="K29" i="2" s="1"/>
  <c r="D20" i="3" s="1"/>
  <c r="H28" i="2"/>
  <c r="G28" i="2"/>
  <c r="E28" i="2"/>
  <c r="K28" i="2" s="1"/>
  <c r="D19" i="3" s="1"/>
  <c r="E26" i="2"/>
  <c r="K26" i="2" s="1"/>
  <c r="D17" i="3" s="1"/>
  <c r="B12" i="2"/>
  <c r="B7" i="7" s="1"/>
  <c r="D7" i="7" s="1"/>
  <c r="F7" i="7" s="1"/>
  <c r="B10" i="2"/>
  <c r="B6" i="7" s="1"/>
  <c r="D6" i="7" s="1"/>
  <c r="F6" i="7" s="1"/>
  <c r="E18" i="1"/>
  <c r="B18" i="1"/>
  <c r="G19" i="6" l="1"/>
  <c r="G23" i="6" s="1"/>
  <c r="K7" i="6" s="1"/>
  <c r="C23" i="6"/>
  <c r="F7" i="6" s="1"/>
  <c r="F19" i="6"/>
  <c r="E19" i="6"/>
  <c r="E23" i="6" s="1"/>
  <c r="E17" i="6"/>
  <c r="I7" i="6"/>
  <c r="F17" i="6"/>
  <c r="H6" i="6" s="1"/>
  <c r="J6" i="6" s="1"/>
  <c r="E25" i="2"/>
  <c r="D33" i="4"/>
  <c r="F33" i="4" s="1"/>
  <c r="H33" i="4" s="1"/>
  <c r="E20" i="6"/>
  <c r="I28" i="2"/>
  <c r="E19" i="3" s="1"/>
  <c r="D36" i="4"/>
  <c r="F36" i="4" s="1"/>
  <c r="H36" i="4" s="1"/>
  <c r="C17" i="1" s="1"/>
  <c r="E14" i="6"/>
  <c r="F20" i="6"/>
  <c r="F23" i="6" s="1"/>
  <c r="H7" i="6" s="1"/>
  <c r="J7" i="6" s="1"/>
  <c r="J28" i="2"/>
  <c r="F19" i="3" s="1"/>
  <c r="J19" i="3" s="1"/>
  <c r="D45" i="4"/>
  <c r="F45" i="4" s="1"/>
  <c r="H45" i="4" s="1"/>
  <c r="D52" i="4"/>
  <c r="F52" i="4" s="1"/>
  <c r="H52" i="4" s="1"/>
  <c r="D55" i="4"/>
  <c r="F55" i="4" s="1"/>
  <c r="H55" i="4" s="1"/>
  <c r="E42" i="4"/>
  <c r="F42" i="4" s="1"/>
  <c r="H42" i="4" s="1"/>
  <c r="C18" i="1" s="1"/>
  <c r="D18" i="1" s="1"/>
  <c r="D31" i="4"/>
  <c r="F31" i="4" s="1"/>
  <c r="H31" i="4" s="1"/>
  <c r="I26" i="2"/>
  <c r="E17" i="3" s="1"/>
  <c r="I29" i="2"/>
  <c r="E20" i="3" s="1"/>
  <c r="D34" i="4"/>
  <c r="F34" i="4" s="1"/>
  <c r="H34" i="4" s="1"/>
  <c r="E23" i="2"/>
  <c r="J26" i="2"/>
  <c r="F17" i="3" s="1"/>
  <c r="J17" i="3" s="1"/>
  <c r="J29" i="2"/>
  <c r="F20" i="3" s="1"/>
  <c r="J20" i="3" s="1"/>
  <c r="D43" i="4"/>
  <c r="F43" i="4" s="1"/>
  <c r="H43" i="4" s="1"/>
  <c r="D46" i="4"/>
  <c r="F46" i="4" s="1"/>
  <c r="H46" i="4" s="1"/>
  <c r="G12" i="6"/>
  <c r="G17" i="6" s="1"/>
  <c r="K6" i="6" s="1"/>
  <c r="E27" i="2"/>
  <c r="D32" i="4"/>
  <c r="F32" i="4" s="1"/>
  <c r="H32" i="4" s="1"/>
  <c r="E24" i="2"/>
  <c r="D35" i="4"/>
  <c r="F35" i="4" s="1"/>
  <c r="H35" i="4" s="1"/>
  <c r="E13" i="6"/>
  <c r="D30" i="4"/>
  <c r="F30" i="4" s="1"/>
  <c r="H30" i="4" s="1"/>
  <c r="K25" i="2" l="1"/>
  <c r="D16" i="3" s="1"/>
  <c r="J25" i="2"/>
  <c r="F16" i="3" s="1"/>
  <c r="J16" i="3" s="1"/>
  <c r="I25" i="2"/>
  <c r="E16" i="3" s="1"/>
  <c r="K24" i="2"/>
  <c r="D15" i="3" s="1"/>
  <c r="J24" i="2"/>
  <c r="F15" i="3" s="1"/>
  <c r="J15" i="3" s="1"/>
  <c r="I24" i="2"/>
  <c r="E15" i="3" s="1"/>
  <c r="K27" i="2"/>
  <c r="D18" i="3" s="1"/>
  <c r="J27" i="2"/>
  <c r="F18" i="3" s="1"/>
  <c r="J18" i="3" s="1"/>
  <c r="I27" i="2"/>
  <c r="E18" i="3" s="1"/>
  <c r="F18" i="1"/>
  <c r="K23" i="2"/>
  <c r="D14" i="3" s="1"/>
  <c r="J23" i="2"/>
  <c r="F14" i="3" s="1"/>
  <c r="I23" i="2"/>
  <c r="E14" i="3" s="1"/>
  <c r="C16" i="1"/>
  <c r="I20" i="3"/>
  <c r="L20" i="3" s="1"/>
  <c r="B17" i="1" s="1"/>
  <c r="M20" i="3"/>
  <c r="E17" i="1" s="1"/>
  <c r="F17" i="1" s="1"/>
  <c r="M19" i="3"/>
  <c r="I19" i="3"/>
  <c r="L19" i="3" s="1"/>
  <c r="I17" i="3"/>
  <c r="L17" i="3" s="1"/>
  <c r="M17" i="3"/>
  <c r="I14" i="3" l="1"/>
  <c r="E22" i="3"/>
  <c r="M14" i="3"/>
  <c r="F22" i="3"/>
  <c r="J14" i="3"/>
  <c r="J22" i="3" s="1"/>
  <c r="M18" i="3"/>
  <c r="C26" i="1" s="1"/>
  <c r="I18" i="3"/>
  <c r="L18" i="3" s="1"/>
  <c r="B26" i="1" s="1"/>
  <c r="B24" i="1"/>
  <c r="B16" i="1"/>
  <c r="D16" i="1" s="1"/>
  <c r="C24" i="1"/>
  <c r="E16" i="1"/>
  <c r="F16" i="1" s="1"/>
  <c r="M15" i="3"/>
  <c r="I15" i="3"/>
  <c r="L15" i="3" s="1"/>
  <c r="D17" i="1"/>
  <c r="E9" i="1"/>
  <c r="M16" i="3"/>
  <c r="C25" i="1" s="1"/>
  <c r="I16" i="3"/>
  <c r="L16" i="3" s="1"/>
  <c r="B25" i="1" s="1"/>
  <c r="E51" i="4"/>
  <c r="F51" i="4" s="1"/>
  <c r="H51" i="4" s="1"/>
  <c r="D41" i="4"/>
  <c r="F41" i="4" s="1"/>
  <c r="H41" i="4" s="1"/>
  <c r="D38" i="4"/>
  <c r="F38" i="4" s="1"/>
  <c r="H38" i="4" s="1"/>
  <c r="D40" i="4"/>
  <c r="F40" i="4" s="1"/>
  <c r="H40" i="4" s="1"/>
  <c r="D39" i="4"/>
  <c r="F39" i="4" s="1"/>
  <c r="H39" i="4" s="1"/>
  <c r="D21" i="3"/>
  <c r="K21" i="3" s="1"/>
  <c r="I7" i="5" l="1"/>
  <c r="I8" i="5"/>
  <c r="I6" i="5"/>
  <c r="B13" i="7"/>
  <c r="H57" i="4"/>
  <c r="C15" i="1"/>
  <c r="K22" i="3"/>
  <c r="L21" i="3"/>
  <c r="D22" i="3"/>
  <c r="C23" i="1"/>
  <c r="I22" i="3"/>
  <c r="L14" i="3"/>
  <c r="M21" i="3" l="1"/>
  <c r="B27" i="1"/>
  <c r="C9" i="7"/>
  <c r="C5" i="1"/>
  <c r="B9" i="7" s="1"/>
  <c r="D9" i="7" s="1"/>
  <c r="F9" i="7" s="1"/>
  <c r="F30" i="6"/>
  <c r="L22" i="3"/>
  <c r="H7" i="5"/>
  <c r="J7" i="5" s="1"/>
  <c r="B12" i="7"/>
  <c r="B23" i="1"/>
  <c r="B15" i="1"/>
  <c r="H8" i="5"/>
  <c r="J8" i="5" s="1"/>
  <c r="H6" i="5"/>
  <c r="J6" i="5" s="1"/>
  <c r="F13" i="7"/>
  <c r="D13" i="7"/>
  <c r="D15" i="1" l="1"/>
  <c r="C9" i="1"/>
  <c r="F12" i="7"/>
  <c r="D12" i="7"/>
  <c r="C8" i="7"/>
  <c r="A5" i="1"/>
  <c r="C27" i="1"/>
  <c r="M22" i="3"/>
  <c r="E15" i="1"/>
  <c r="F15" i="1" s="1"/>
  <c r="E5" i="1" l="1"/>
  <c r="B8" i="7"/>
  <c r="D8" i="7" s="1"/>
  <c r="F8" i="7" s="1"/>
  <c r="C10" i="7"/>
  <c r="G9" i="1"/>
  <c r="A9" i="1" l="1"/>
  <c r="B10" i="7"/>
  <c r="D10" i="7" s="1"/>
  <c r="F10" i="7" s="1"/>
  <c r="B11" i="7"/>
  <c r="D11" i="7" s="1"/>
  <c r="F11" i="7" s="1"/>
  <c r="B2" i="7" l="1"/>
  <c r="H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tc={D6DA0F63-E440-FC44-6694-F18E59CD216A}</author>
    <author>tc={D8D44390-1647-DCB2-F529-95068F448F15}</author>
    <author>tc={B1144FCD-652E-9A8E-A82D-DE464054EA92}</author>
    <author>tc={A934057D-0C3E-85EF-04FF-9C5C2D7FD43F}</author>
  </authors>
  <commentList>
    <comment ref="B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20 companies/month for the average case. Replace with actual monthly cohort volume.</t>
      </text>
    </comment>
    <comment ref="B9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12 reports/company. The download and PageIndex agents both scale with this driver.</t>
      </text>
    </comment>
    <comment ref="B1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50 questionnaire questions/company. The answering agent processes one ReAct loop per question block.</t>
      </text>
    </comment>
    <comment ref="G28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Estimate: PageIndex fixed 25K input tokens plus 900 input tokens/page. The PageIndex library is absent locally, so replace with Bedrock usage telemetry after a representative run.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tc={F3508F0F-0441-25E7-E347-12766E130E8E}</author>
    <author>tc={6BAB9807-54F7-1ED3-CFB5-DD0CB800C699}</author>
  </authors>
  <commentList>
    <comment ref="B6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https://aws.amazon.com/bedrock/pricing/ | Claude Sonnet 5 launch pricing through 2026-08-31.</t>
      </text>
    </comment>
    <comment ref="C8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https://cloud.google.com/vertex-ai/generative-ai/pricing | Uses thinking-output price because code does not set thinkingBudget=0.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tc={E13CF248-792A-E18B-0A28-12B53A6DBCF9}</author>
    <author>tc={6E1687E1-CB93-963D-A612-902903537250}</author>
  </authors>
  <commentList>
    <comment ref="B6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https://aws.amazon.com/bedrock/agentcore/pricing/</t>
      </text>
    </comment>
    <comment ref="B10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https://aws.amazon.com/lambda/pricing/ | ARM first-tier duration rate.</t>
      </text>
    </comment>
  </commentList>
</comments>
</file>

<file path=xl/sharedStrings.xml><?xml version="1.0" encoding="utf-8"?>
<sst xmlns="http://schemas.openxmlformats.org/spreadsheetml/2006/main" count="968" uniqueCount="426">
  <si>
    <t>Three-Agent Monthly Cost Analysis</t>
  </si>
  <si>
    <t>Average case based on the inspected download, PageIndex, and answering agent code. Model/API costs and infrastructure are deliberately separated.</t>
  </si>
  <si>
    <t>Current model cost</t>
  </si>
  <si>
    <t>Infrastructure cost</t>
  </si>
  <si>
    <t>All-in current</t>
  </si>
  <si>
    <t>Current cost / company</t>
  </si>
  <si>
    <t>Current cost / report</t>
  </si>
  <si>
    <t>Answering cost / question</t>
  </si>
  <si>
    <t>Model share of total</t>
  </si>
  <si>
    <t>Pricing basis</t>
  </si>
  <si>
    <t>USD; gross rates; free tiers excluded</t>
  </si>
  <si>
    <t>As-of</t>
  </si>
  <si>
    <t>Region</t>
  </si>
  <si>
    <t>us-east-1 / Vertex global</t>
  </si>
  <si>
    <t>Model status</t>
  </si>
  <si>
    <t>Monthly cost by agent</t>
  </si>
  <si>
    <t>Agent</t>
  </si>
  <si>
    <t>Model — current</t>
  </si>
  <si>
    <t>Infrastructure</t>
  </si>
  <si>
    <t>All-in — current</t>
  </si>
  <si>
    <t>Model — post-promo</t>
  </si>
  <si>
    <t>All-in — post-promo</t>
  </si>
  <si>
    <t>Download Agent</t>
  </si>
  <si>
    <t>PageIndex Agent</t>
  </si>
  <si>
    <t>Answering Agent</t>
  </si>
  <si>
    <t>Shared</t>
  </si>
  <si>
    <t>Current model cost by model</t>
  </si>
  <si>
    <t>Model / service</t>
  </si>
  <si>
    <t>Current monthly</t>
  </si>
  <si>
    <t>Post-promo monthly</t>
  </si>
  <si>
    <t>Claude Sonnet 5</t>
  </si>
  <si>
    <t>Claude Sonnet 4.5</t>
  </si>
  <si>
    <t>Gemini 2.5 Flash (thinking)</t>
  </si>
  <si>
    <t>Amazon Nova 2 Lite</t>
  </si>
  <si>
    <t>Vertex grounding</t>
  </si>
  <si>
    <t>Agent Cost Analysis — Editable Assumptions</t>
  </si>
  <si>
    <t>Blue-font values are user-editable. Formula cells are black; cross-sheet links are green. USD, gross published rates, no free-tier credits.</t>
  </si>
  <si>
    <t>Average-case monthly workload</t>
  </si>
  <si>
    <t>Driver</t>
  </si>
  <si>
    <t>Base value</t>
  </si>
  <si>
    <t>Unit</t>
  </si>
  <si>
    <t>Basis / note</t>
  </si>
  <si>
    <t>Analysis as of</t>
  </si>
  <si>
    <t>date</t>
  </si>
  <si>
    <t>Pricing and code review date</t>
  </si>
  <si>
    <t>Billing days per month</t>
  </si>
  <si>
    <t>days</t>
  </si>
  <si>
    <t>Used for daily Vertex grounding allowance</t>
  </si>
  <si>
    <t>Companies processed</t>
  </si>
  <si>
    <t>companies/month</t>
  </si>
  <si>
    <t>Average-case planning assumption</t>
  </si>
  <si>
    <t>Reports per company</t>
  </si>
  <si>
    <t>reports/company</t>
  </si>
  <si>
    <t>Download and PageIndex volume</t>
  </si>
  <si>
    <t>Reports processed</t>
  </si>
  <si>
    <t>reports/month</t>
  </si>
  <si>
    <t>Companies × reports/company</t>
  </si>
  <si>
    <t>Questions per company</t>
  </si>
  <si>
    <t>questions/company</t>
  </si>
  <si>
    <t>Question blocks answered by the ReAct loop</t>
  </si>
  <si>
    <t>Questions answered</t>
  </si>
  <si>
    <t>questions/month</t>
  </si>
  <si>
    <t>Companies × questions/company</t>
  </si>
  <si>
    <t>Average PDF pages</t>
  </si>
  <si>
    <t>pages/report</t>
  </si>
  <si>
    <t>Drives PageIndex token estimate</t>
  </si>
  <si>
    <t>Average PDF size</t>
  </si>
  <si>
    <t>MB/report</t>
  </si>
  <si>
    <t>Drives incremental S3 storage</t>
  </si>
  <si>
    <t>Existing retained PDFs + indexes</t>
  </si>
  <si>
    <t>GB</t>
  </si>
  <si>
    <t>Opening S3 footprint before this month</t>
  </si>
  <si>
    <t>S3 versioning multiplier</t>
  </si>
  <si>
    <t>x</t>
  </si>
  <si>
    <t>Allows 10% overhead for prior object versions</t>
  </si>
  <si>
    <t>Total private ECR image storage</t>
  </si>
  <si>
    <t>Four runtime/Lambda repositories combined</t>
  </si>
  <si>
    <t>Existing DynamoDB table size</t>
  </si>
  <si>
    <t>Provenance table including item overhead</t>
  </si>
  <si>
    <t>Model usage assumptions by workload</t>
  </si>
  <si>
    <t>Workload</t>
  </si>
  <si>
    <t>Units / month</t>
  </si>
  <si>
    <t>Calls / unit</t>
  </si>
  <si>
    <t>Input tokens / call</t>
  </si>
  <si>
    <t>Output tokens / call</t>
  </si>
  <si>
    <t>Monthly input tokens</t>
  </si>
  <si>
    <t>Monthly output tokens</t>
  </si>
  <si>
    <t>Monthly calls</t>
  </si>
  <si>
    <t>Query prep, class match, query generation</t>
  </si>
  <si>
    <t>report</t>
  </si>
  <si>
    <t>Candidate verification / selection</t>
  </si>
  <si>
    <t>Grounded document discovery</t>
  </si>
  <si>
    <t>Company identity hint</t>
  </si>
  <si>
    <t>company</t>
  </si>
  <si>
    <t>Browser-vision fallback</t>
  </si>
  <si>
    <t>Hierarchical tree indexing</t>
  </si>
  <si>
    <t>ReAct tool loop</t>
  </si>
  <si>
    <t>question</t>
  </si>
  <si>
    <t>Infrastructure consumption assumptions</t>
  </si>
  <si>
    <t>Download runtime active CPU</t>
  </si>
  <si>
    <t>seconds/report</t>
  </si>
  <si>
    <t>CPU-active time; I/O waits do not accrue CPU</t>
  </si>
  <si>
    <t>Download runtime memory duration</t>
  </si>
  <si>
    <t>Average session memory duration</t>
  </si>
  <si>
    <t>Download runtime memory</t>
  </si>
  <si>
    <t>Average working set</t>
  </si>
  <si>
    <t>Browser fallback rate</t>
  </si>
  <si>
    <t>% of reports</t>
  </si>
  <si>
    <t>AgentCore Browser is a downstream fallback</t>
  </si>
  <si>
    <t>Browser active CPU</t>
  </si>
  <si>
    <t>seconds/session</t>
  </si>
  <si>
    <t>2 vCPU during active work</t>
  </si>
  <si>
    <t>Browser vCPU</t>
  </si>
  <si>
    <t>vCPU</t>
  </si>
  <si>
    <t>Active browser allocation</t>
  </si>
  <si>
    <t>Browser session duration</t>
  </si>
  <si>
    <t>Memory billed through session duration</t>
  </si>
  <si>
    <t>Browser memory</t>
  </si>
  <si>
    <t>Average browser working set</t>
  </si>
  <si>
    <t>PageIndex runtime active CPU</t>
  </si>
  <si>
    <t>50% active CPU over a 10-minute job</t>
  </si>
  <si>
    <t>PageIndex runtime memory duration</t>
  </si>
  <si>
    <t>Average index job duration</t>
  </si>
  <si>
    <t>PageIndex runtime memory</t>
  </si>
  <si>
    <t>PDF + index construction working set</t>
  </si>
  <si>
    <t>Answer runtime active CPU</t>
  </si>
  <si>
    <t>seconds/question</t>
  </si>
  <si>
    <t>Excludes Bedrock/tool I/O waits</t>
  </si>
  <si>
    <t>Answer runtime memory duration</t>
  </si>
  <si>
    <t>Average per-question allocation</t>
  </si>
  <si>
    <t>Answer runtime memory</t>
  </si>
  <si>
    <t>Vertex Lambda duration</t>
  </si>
  <si>
    <t>seconds/call</t>
  </si>
  <si>
    <t>Includes credential exchange and redirect resolution</t>
  </si>
  <si>
    <t>Vertex Lambda memory</t>
  </si>
  <si>
    <t>Configured 512 MB ARM64</t>
  </si>
  <si>
    <t>Vertex-to-AgentCore web-search fallback</t>
  </si>
  <si>
    <t>% of Vertex calls</t>
  </si>
  <si>
    <t>Only when Vertex returns nothing or errors</t>
  </si>
  <si>
    <t>CloudWatch: download agent</t>
  </si>
  <si>
    <t>Structured discovery/verification logs</t>
  </si>
  <si>
    <t>CloudWatch: PageIndex</t>
  </si>
  <si>
    <t>Index progress and errors</t>
  </si>
  <si>
    <t>CloudWatch: answering</t>
  </si>
  <si>
    <t>MB/question</t>
  </si>
  <si>
    <t>ReAct and validation logs</t>
  </si>
  <si>
    <t>CloudWatch: Vertex Lambda</t>
  </si>
  <si>
    <t>MB/call</t>
  </si>
  <si>
    <t>Lambda and redirect logs</t>
  </si>
  <si>
    <t>Average archived CloudWatch logs</t>
  </si>
  <si>
    <t>GB-month</t>
  </si>
  <si>
    <t>Retained log footprint across groups</t>
  </si>
  <si>
    <t>AWS data transfer to GCP</t>
  </si>
  <si>
    <t>GB/month</t>
  </si>
  <si>
    <t>Vertex request/response traffic only</t>
  </si>
  <si>
    <t>Monthly Model &amp; Vertex Cost</t>
  </si>
  <si>
    <t>Current pricing uses Claude Sonnet 5 launch pricing through 2026-08-31. Post-promo shows the recurring $3/$15 token rate.</t>
  </si>
  <si>
    <t>Published model rates (USD per 1M tokens)</t>
  </si>
  <si>
    <t>Vertex Google Search grounding</t>
  </si>
  <si>
    <t>Model</t>
  </si>
  <si>
    <t>Input — current</t>
  </si>
  <si>
    <t>Output — current</t>
  </si>
  <si>
    <t>Input — post-promo</t>
  </si>
  <si>
    <t>Output — post-promo</t>
  </si>
  <si>
    <t>Pricing note</t>
  </si>
  <si>
    <t>Free grounded prompts</t>
  </si>
  <si>
    <t>AWS launch price ends 2026-08-31</t>
  </si>
  <si>
    <t>Grounding price</t>
  </si>
  <si>
    <t>AWS standard global / cross-region rate</t>
  </si>
  <si>
    <t>Allowance period</t>
  </si>
  <si>
    <t>per day</t>
  </si>
  <si>
    <t>Thinking output rate because thinking is not disabled</t>
  </si>
  <si>
    <t>Bedrock standard on-demand</t>
  </si>
  <si>
    <t>Monthly model cost calculation</t>
  </si>
  <si>
    <t>Input tokens</t>
  </si>
  <si>
    <t>Output tokens</t>
  </si>
  <si>
    <t>Input rate</t>
  </si>
  <si>
    <t>Output rate</t>
  </si>
  <si>
    <t>Input cost</t>
  </si>
  <si>
    <t>Output cost</t>
  </si>
  <si>
    <t>Grounding cost</t>
  </si>
  <si>
    <t>Current total</t>
  </si>
  <si>
    <t>Post-promo total</t>
  </si>
  <si>
    <t>Google Search grounding add-on</t>
  </si>
  <si>
    <t>TOTAL</t>
  </si>
  <si>
    <t>Monthly Infrastructure Cost — Separate from Model Spend</t>
  </si>
  <si>
    <t>Includes AgentCore Runtime/Browser, Vertex Lambda, fallback web search, S3, DynamoDB, ECR, Secrets Manager, CloudWatch, KMS, and small AWS→GCP egress.</t>
  </si>
  <si>
    <t>Published infrastructure rates</t>
  </si>
  <si>
    <t>Service / meter</t>
  </si>
  <si>
    <t>Rate</t>
  </si>
  <si>
    <t>Billing unit</t>
  </si>
  <si>
    <t>AgentCore Runtime CPU</t>
  </si>
  <si>
    <t>vCPU-hour</t>
  </si>
  <si>
    <t>AWS AgentCore</t>
  </si>
  <si>
    <t>AgentCore Runtime memory</t>
  </si>
  <si>
    <t>GB-hour</t>
  </si>
  <si>
    <t>AgentCore Browser CPU</t>
  </si>
  <si>
    <t>AgentCore Browser memory</t>
  </si>
  <si>
    <t>Lambda ARM compute</t>
  </si>
  <si>
    <t>GB-second</t>
  </si>
  <si>
    <t>AWS Lambda first ARM tier</t>
  </si>
  <si>
    <t>Lambda requests</t>
  </si>
  <si>
    <t>1M requests</t>
  </si>
  <si>
    <t>AWS Lambda</t>
  </si>
  <si>
    <t>AgentCore Web Search</t>
  </si>
  <si>
    <t>1K queries</t>
  </si>
  <si>
    <t>Vertex fallback only</t>
  </si>
  <si>
    <t>AgentCore Gateway invoke</t>
  </si>
  <si>
    <t>1K invokes</t>
  </si>
  <si>
    <t>S3 Standard storage</t>
  </si>
  <si>
    <t>us-east-1</t>
  </si>
  <si>
    <t>S3 PUT/COPY/POST/LIST</t>
  </si>
  <si>
    <t>1K requests</t>
  </si>
  <si>
    <t>S3 GET</t>
  </si>
  <si>
    <t>DynamoDB on-demand write</t>
  </si>
  <si>
    <t>1M WRU</t>
  </si>
  <si>
    <t>Standard table</t>
  </si>
  <si>
    <t>DynamoDB on-demand read</t>
  </si>
  <si>
    <t>1M RRU</t>
  </si>
  <si>
    <t>DynamoDB storage</t>
  </si>
  <si>
    <t>DynamoDB PITR</t>
  </si>
  <si>
    <t>Continuous backups</t>
  </si>
  <si>
    <t>ECR private storage</t>
  </si>
  <si>
    <t>Private repositories</t>
  </si>
  <si>
    <t>Secrets Manager</t>
  </si>
  <si>
    <t>secret-month</t>
  </si>
  <si>
    <t>One WIF configuration secret</t>
  </si>
  <si>
    <t>CloudWatch Logs ingestion</t>
  </si>
  <si>
    <t>Standard logs, first tier</t>
  </si>
  <si>
    <t>CloudWatch archived logs</t>
  </si>
  <si>
    <t>Estimated standard archive rate</t>
  </si>
  <si>
    <t>AWS KMS requests</t>
  </si>
  <si>
    <t>10K requests</t>
  </si>
  <si>
    <t>AWS-managed key has no key-month fee</t>
  </si>
  <si>
    <t>Internet data transfer out</t>
  </si>
  <si>
    <t>First paid tier; free allowance excluded</t>
  </si>
  <si>
    <t>Monthly infrastructure calculation</t>
  </si>
  <si>
    <t>Volume driver</t>
  </si>
  <si>
    <t>Monthly volume</t>
  </si>
  <si>
    <t>Usage per driver</t>
  </si>
  <si>
    <t>Billable usage</t>
  </si>
  <si>
    <t>Monthly cost</t>
  </si>
  <si>
    <t>Notes</t>
  </si>
  <si>
    <t>reports</t>
  </si>
  <si>
    <t>1 vCPU active</t>
  </si>
  <si>
    <t>GB-hours</t>
  </si>
  <si>
    <t>30% fallback × 2 vCPU</t>
  </si>
  <si>
    <t>30% fallback × 4 GB</t>
  </si>
  <si>
    <t>2 GB working set</t>
  </si>
  <si>
    <t>questions</t>
  </si>
  <si>
    <t>1 GB working set</t>
  </si>
  <si>
    <t>Vertex Lambda ARM compute</t>
  </si>
  <si>
    <t>Vertex calls</t>
  </si>
  <si>
    <t>512 MB × 5 sec</t>
  </si>
  <si>
    <t>Vertex Lambda requests</t>
  </si>
  <si>
    <t>RequestResponse invokes</t>
  </si>
  <si>
    <t>AgentCore Web Search fallback</t>
  </si>
  <si>
    <t>5% fallback</t>
  </si>
  <si>
    <t>AgentCore Gateway invokes</t>
  </si>
  <si>
    <t>opening + half-month new</t>
  </si>
  <si>
    <t>Includes 10% versioning overhead</t>
  </si>
  <si>
    <t>S3 PUT/LIST requests</t>
  </si>
  <si>
    <t>Download + incremental index writes</t>
  </si>
  <si>
    <t>S3 GET requests</t>
  </si>
  <si>
    <t>reports + questions</t>
  </si>
  <si>
    <t>6/report + 0.2/question</t>
  </si>
  <si>
    <t>DynamoDB writes</t>
  </si>
  <si>
    <t>One provenance write/report</t>
  </si>
  <si>
    <t>DynamoDB reads</t>
  </si>
  <si>
    <t>Two reads/report</t>
  </si>
  <si>
    <t>existing table</t>
  </si>
  <si>
    <t>Continuous backup</t>
  </si>
  <si>
    <t>stored images</t>
  </si>
  <si>
    <t>Four repositories combined</t>
  </si>
  <si>
    <t>WIF secret</t>
  </si>
  <si>
    <t>One secret-month</t>
  </si>
  <si>
    <t>reports + Vertex calls</t>
  </si>
  <si>
    <t>Download + Lambda logs</t>
  </si>
  <si>
    <t>Index logs</t>
  </si>
  <si>
    <t>ReAct logs</t>
  </si>
  <si>
    <t>retained footprint</t>
  </si>
  <si>
    <t>Across all log groups</t>
  </si>
  <si>
    <t>S3 encrypt/decrypt request allowance</t>
  </si>
  <si>
    <t>AWS→GCP data transfer</t>
  </si>
  <si>
    <t>monthly egress</t>
  </si>
  <si>
    <t>Vertex prompt/response traffic</t>
  </si>
  <si>
    <t>Low / Base / High Monthly Sensitivity</t>
  </si>
  <si>
    <t>Scenarios flex workload and document length. Current Sonnet 5 promotional pricing is used; fixed shared infrastructure remains unchanged.</t>
  </si>
  <si>
    <t>Scenario analysis</t>
  </si>
  <si>
    <t>Scenario</t>
  </si>
  <si>
    <t>Companies / month</t>
  </si>
  <si>
    <t>Reports / company</t>
  </si>
  <si>
    <t>Questions / company</t>
  </si>
  <si>
    <t>Avg pages / report</t>
  </si>
  <si>
    <t>Reports / month</t>
  </si>
  <si>
    <t>Questions / month</t>
  </si>
  <si>
    <t>Model cost</t>
  </si>
  <si>
    <t>All-in cost</t>
  </si>
  <si>
    <t>Low</t>
  </si>
  <si>
    <t>Base</t>
  </si>
  <si>
    <t>High</t>
  </si>
  <si>
    <t>Sensitivity caveat: model cost is proportional to the configured per-call token assumptions except PageIndex, which recalculates a fixed token block plus a per-page token component. Infrastructure scales variable AgentCore/Lambda/log costs by reports or questions; shared storage/ECR/Secrets/retained logs are held fixed. Vertex grounding remains within the daily free allowance for all three scenarios when work is evenly distributed.</t>
  </si>
  <si>
    <t>Requested Workloads — Token &amp; Monthly Cost Comparison</t>
  </si>
  <si>
    <t>Compares one company with 23 reports and 29 questions against the monthly portfolio of 20 companies, 240 reports, and 1,000 questions. Average document length remains 150 pages.</t>
  </si>
  <si>
    <t>Scenario summary</t>
  </si>
  <si>
    <t>Companies</t>
  </si>
  <si>
    <t>Reports</t>
  </si>
  <si>
    <t>Questions</t>
  </si>
  <si>
    <t>Model cost — current</t>
  </si>
  <si>
    <t>1 company workload</t>
  </si>
  <si>
    <t>Monthly portfolio</t>
  </si>
  <si>
    <t>Model-wise token spend and cost</t>
  </si>
  <si>
    <t>Total tokens</t>
  </si>
  <si>
    <t>Current cost</t>
  </si>
  <si>
    <t>Post-promo cost</t>
  </si>
  <si>
    <t>Calculation basis</t>
  </si>
  <si>
    <t>Download + answering</t>
  </si>
  <si>
    <t>PageIndex estimate</t>
  </si>
  <si>
    <t>Vertex document + identity search</t>
  </si>
  <si>
    <t>6 document searches/report + 1 identity search/company</t>
  </si>
  <si>
    <t>Scenario-specific infrastructure cost</t>
  </si>
  <si>
    <t>Total infrastructure</t>
  </si>
  <si>
    <t>Includes fixed retained storage, ECR, secret, archived logs, and small egress</t>
  </si>
  <si>
    <t>Matches the main average-case model</t>
  </si>
  <si>
    <t>CHECK — monthly portfolio</t>
  </si>
  <si>
    <t>Difference versus Infra Cost total; should be zero</t>
  </si>
  <si>
    <t>Token caveat: PageIndex usage is an estimate of 25K fixed input tokens + 900 input tokens/page and 2K fixed output tokens + 90 output tokens/page. Gemini output is priced at the thinking-output rate because thinking is not disabled. Infrastructure includes both workload-variable meters and the fixed footprint retained for the month; a dedicated PageIndex EC2 orchestrator remains excluded because it is not provisioned or sized in the supplied Terraform.</t>
  </si>
  <si>
    <t>Model Checks</t>
  </si>
  <si>
    <t>MODEL STATUS</t>
  </si>
  <si>
    <t>All checks should read OK before the cost model is used for budgeting.</t>
  </si>
  <si>
    <t>Check</t>
  </si>
  <si>
    <t>Actual</t>
  </si>
  <si>
    <t>Expected</t>
  </si>
  <si>
    <t>Difference</t>
  </si>
  <si>
    <t>Tolerance</t>
  </si>
  <si>
    <t>Status</t>
  </si>
  <si>
    <t>Reports/month recomputes</t>
  </si>
  <si>
    <t>Questions/month recomputes</t>
  </si>
  <si>
    <t>Current model total ties</t>
  </si>
  <si>
    <t>Summary vs Model Cost</t>
  </si>
  <si>
    <t>Infrastructure total ties</t>
  </si>
  <si>
    <t>Summary vs Infra Cost</t>
  </si>
  <si>
    <t>All-in current ties</t>
  </si>
  <si>
    <t>Model + infrastructure</t>
  </si>
  <si>
    <t>Post-promo is not lower</t>
  </si>
  <si>
    <t>Sonnet 5 rate increases after 2026-08-31</t>
  </si>
  <si>
    <t>No negative model costs</t>
  </si>
  <si>
    <t>Minimum model line item</t>
  </si>
  <si>
    <t>No negative infrastructure costs</t>
  </si>
  <si>
    <t>Minimum infrastructure line item</t>
  </si>
  <si>
    <t>Sources &amp; Audit Trail</t>
  </si>
  <si>
    <t>Local implementation evidence and official public pricing pages used in the model.</t>
  </si>
  <si>
    <t>Category</t>
  </si>
  <si>
    <t>Item</t>
  </si>
  <si>
    <t>Observed value / use</t>
  </si>
  <si>
    <t>Source</t>
  </si>
  <si>
    <t>Accessed</t>
  </si>
  <si>
    <t>Local code</t>
  </si>
  <si>
    <t>Download agent models</t>
  </si>
  <si>
    <t>Claude Sonnet 5; Gemini 2.5 Flash; Nova 2 Lite fallback</t>
  </si>
  <si>
    <t>/Users/abhay/Documents/csa-project/agents/download-agent/locals.tf</t>
  </si>
  <si>
    <t>terraform.tfvars also sets llm_model_id to Sonnet 5</t>
  </si>
  <si>
    <t>Vertex Lambda</t>
  </si>
  <si>
    <t>512 MB ARM64; 900s timeout; Gemini 2.5 Flash</t>
  </si>
  <si>
    <t>/Users/abhay/Documents/csa-project/agents/download-agent/lambda.tf</t>
  </si>
  <si>
    <t>Lambda code omits thinkingConfig, so thinking is dynamic</t>
  </si>
  <si>
    <t>PageIndex model</t>
  </si>
  <si>
    <t>Claude Sonnet 4.5 via LiteLLM/Bedrock</t>
  </si>
  <si>
    <t>/Users/abhay/Documents/csa-project/pageindex-agentcore/runtime/runtime_handler.py</t>
  </si>
  <si>
    <t>PageIndex library itself is absent from this workspace</t>
  </si>
  <si>
    <t>Answering model</t>
  </si>
  <si>
    <t>Claude Sonnet 5; 10 tool calls/question in deployed tfvars</t>
  </si>
  <si>
    <t>/Users/abhay/Documents/csa-project/answering_agent/infra/terraform.tfvars</t>
  </si>
  <si>
    <t>Cost uses 6 average LLM turns/question</t>
  </si>
  <si>
    <t>Pricing</t>
  </si>
  <si>
    <t>Amazon Bedrock models</t>
  </si>
  <si>
    <t>Sonnet 5 $2/$10 promo; then $3/$15; Sonnet 4.5 $3/$15</t>
  </si>
  <si>
    <t>https://aws.amazon.com/bedrock/pricing/</t>
  </si>
  <si>
    <t>USD per 1M input/output tokens</t>
  </si>
  <si>
    <t>$0.30/$2.50 per 1M input/output tokens</t>
  </si>
  <si>
    <t>https://aws.amazon.com/blogs/machine-learning/pair-nova-2-lite-with-claude-for-cost-optimized-document-processing/</t>
  </si>
  <si>
    <t>AWS worked cost example</t>
  </si>
  <si>
    <t>AgentCore</t>
  </si>
  <si>
    <t>$0.0895/vCPU-hour; $0.00945/GB-hour; Web Search $7/1K</t>
  </si>
  <si>
    <t>https://aws.amazon.com/bedrock/agentcore/pricing/</t>
  </si>
  <si>
    <t>Runtime and Browser share compute rates</t>
  </si>
  <si>
    <t>Vertex Gemini 2.5 Flash</t>
  </si>
  <si>
    <t>$0.15 input; $3.50 thinking output per 1M</t>
  </si>
  <si>
    <t>https://cloud.google.com/vertex-ai/generative-ai/pricing</t>
  </si>
  <si>
    <t>Grounding: 1,500/day free then $35/1K</t>
  </si>
  <si>
    <t>Vertex thinking behavior</t>
  </si>
  <si>
    <t>Dynamic thinking when thinking_budget is omitted</t>
  </si>
  <si>
    <t>https://cloud.google.com/vertex-ai/generative-ai/docs/thinking</t>
  </si>
  <si>
    <t>Set thinkingBudget=0 to disable for Gemini 2.5 Flash</t>
  </si>
  <si>
    <t>ARM $0.0000133334/GB-s; $0.20/1M requests</t>
  </si>
  <si>
    <t>https://aws.amazon.com/lambda/pricing/</t>
  </si>
  <si>
    <t>Gross rates; free tier excluded</t>
  </si>
  <si>
    <t>Amazon S3</t>
  </si>
  <si>
    <t>$0.023/GB-month; PUT $0.005/1K; GET $0.0004/1K</t>
  </si>
  <si>
    <t>https://aws.amazon.com/s3/pricing/</t>
  </si>
  <si>
    <t>S3 Standard, us-east-1</t>
  </si>
  <si>
    <t>Amazon DynamoDB</t>
  </si>
  <si>
    <t>$0.625/1M writes; $0.125/1M reads; $0.25/GB-month</t>
  </si>
  <si>
    <t>https://aws.amazon.com/dynamodb/pricing/</t>
  </si>
  <si>
    <t>On-demand Standard table</t>
  </si>
  <si>
    <t>Amazon ECR</t>
  </si>
  <si>
    <t>$0.10/GB-month private storage</t>
  </si>
  <si>
    <t>https://aws.amazon.com/ecr/pricing/</t>
  </si>
  <si>
    <t>Same-region pulls are free</t>
  </si>
  <si>
    <t>AWS Secrets Manager</t>
  </si>
  <si>
    <t>$0.40/secret-month; $0.05/10K API calls</t>
  </si>
  <si>
    <t>https://aws.amazon.com/secrets-manager/pricing/</t>
  </si>
  <si>
    <t>API-call cost immaterial at base volume</t>
  </si>
  <si>
    <t>Amazon CloudWatch</t>
  </si>
  <si>
    <t>$0.50/GB logs ingestion first tier</t>
  </si>
  <si>
    <t>https://aws.amazon.com/cloudwatch/pricing/</t>
  </si>
  <si>
    <t>Archive rate is an editable estimate</t>
  </si>
  <si>
    <t>AWS KMS</t>
  </si>
  <si>
    <t>$0.03/10K symmetric requests; AWS-managed key has no key fee</t>
  </si>
  <si>
    <t>https://aws.amazon.com/kms/pricing/</t>
  </si>
  <si>
    <t>20K request free tier excluded</t>
  </si>
  <si>
    <t>External library</t>
  </si>
  <si>
    <t>VectifyAI PageIndex</t>
  </si>
  <si>
    <t>Repeated LLM calls for hierarchical indexing</t>
  </si>
  <si>
    <t>https://github.com/VectifyAI/PageIndex</t>
  </si>
  <si>
    <t>Replace estimated tokens with Bedrock usage telemetry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</si>
</sst>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;[Red]\(#,##0\);\-"/>
    <numFmt numFmtId="166" formatCode="#,##0.00;[Red]\(#,##0.00\);\-"/>
    <numFmt numFmtId="167" formatCode="0.0%;[Red]\(0.0%\);\-"/>
    <numFmt numFmtId="168" formatCode="\$0.00"/>
    <numFmt numFmtId="169" formatCode="\$#,##0.00;[Red]\(\$#,##0.00\);\-"/>
    <numFmt numFmtId="170" formatCode="\$0.000000"/>
    <numFmt numFmtId="171" formatCode="\$0.0000;[Red]\(\$0.0000\);\-"/>
  </numFmts>
  <fonts count="18">
    <font>
      <sz val="11"/>
      <name val="Carlito"/>
    </font>
    <font>
      <b/>
      <sz val="18"/>
      <color rgb="FFFFFFFF"/>
      <name val="Aptos"/>
    </font>
    <font>
      <i/>
      <sz val="10"/>
      <color rgb="FF667085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sz val="11"/>
      <color rgb="FF0000FF"/>
      <name val="Aptos"/>
    </font>
    <font>
      <sz val="11"/>
      <color rgb="FF000000"/>
      <name val="Aptos"/>
    </font>
    <font>
      <sz val="11"/>
      <color rgb="FF008000"/>
      <name val="Aptos"/>
    </font>
    <font>
      <b/>
      <sz val="11"/>
      <color rgb="FF000000"/>
      <name val="Aptos"/>
    </font>
    <font>
      <b/>
      <sz val="20"/>
      <color rgb="FF008000"/>
      <name val="Aptos"/>
    </font>
    <font>
      <b/>
      <sz val="20"/>
      <color rgb="FF0F766E"/>
      <name val="Aptos"/>
    </font>
    <font>
      <b/>
      <sz val="13"/>
      <color rgb="FF008000"/>
      <name val="Aptos"/>
    </font>
    <font>
      <sz val="11"/>
      <color rgb="FF667085"/>
      <name val="Aptos"/>
    </font>
    <font>
      <sz val="11"/>
      <color rgb="FF17324D"/>
      <name val="Aptos"/>
    </font>
    <font>
      <b/>
      <sz val="11"/>
      <color rgb="FF008000"/>
      <name val="Aptos"/>
    </font>
    <font>
      <b/>
      <sz val="13"/>
      <color rgb="FFFFFFFF"/>
      <name val="Aptos"/>
    </font>
    <font>
      <i/>
      <sz val="11"/>
      <color rgb="FF667085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5F8FB"/>
      </patternFill>
    </fill>
    <fill>
      <patternFill patternType="solid">
        <fgColor rgb="FF1F4E78"/>
      </patternFill>
    </fill>
    <fill>
      <patternFill patternType="solid">
        <fgColor rgb="FFDCEAF7"/>
      </patternFill>
    </fill>
    <fill>
      <patternFill patternType="solid">
        <fgColor rgb="FFDDF3EF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medium">
        <color rgb="FF1F4E78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n">
        <color rgb="FFD9A441"/>
      </left>
      <right/>
      <top style="thin">
        <color rgb="FFD9A441"/>
      </top>
      <bottom/>
      <diagonal/>
    </border>
    <border>
      <left/>
      <right/>
      <top style="thin">
        <color rgb="FFD9A441"/>
      </top>
      <bottom/>
      <diagonal/>
    </border>
    <border>
      <left/>
      <right style="thin">
        <color rgb="FFD9A441"/>
      </right>
      <top style="thin">
        <color rgb="FFD9A441"/>
      </top>
      <bottom/>
      <diagonal/>
    </border>
    <border>
      <left style="thin">
        <color rgb="FFD9A441"/>
      </left>
      <right/>
      <top/>
      <bottom/>
      <diagonal/>
    </border>
    <border>
      <left/>
      <right style="thin">
        <color rgb="FFD9A441"/>
      </right>
      <top/>
      <bottom/>
      <diagonal/>
    </border>
    <border>
      <left style="thin">
        <color rgb="FFD9A441"/>
      </left>
      <right/>
      <top/>
      <bottom style="thin">
        <color rgb="FFD9A441"/>
      </bottom>
      <diagonal/>
    </border>
    <border>
      <left/>
      <right/>
      <top/>
      <bottom style="thin">
        <color rgb="FFD9A441"/>
      </bottom>
      <diagonal/>
    </border>
    <border>
      <left/>
      <right style="thin">
        <color rgb="FFD9A441"/>
      </right>
      <top/>
      <bottom style="thin">
        <color rgb="FFD9A44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5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165" fontId="6" fillId="0" borderId="3" xfId="0" applyNumberFormat="1" applyFont="1" applyBorder="1" applyAlignment="1">
      <alignment vertical="center" wrapText="1"/>
    </xf>
    <xf numFmtId="166" fontId="7" fillId="0" borderId="3" xfId="0" applyNumberFormat="1" applyFont="1" applyBorder="1" applyAlignment="1">
      <alignment vertical="center" wrapText="1"/>
    </xf>
    <xf numFmtId="166" fontId="6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6" fontId="6" fillId="0" borderId="4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165" fontId="7" fillId="0" borderId="3" xfId="0" applyNumberFormat="1" applyFont="1" applyBorder="1" applyAlignment="1">
      <alignment vertical="center" wrapText="1"/>
    </xf>
    <xf numFmtId="165" fontId="3" fillId="0" borderId="4" xfId="0" applyNumberFormat="1" applyFont="1" applyBorder="1" applyAlignment="1">
      <alignment vertical="center" wrapText="1"/>
    </xf>
    <xf numFmtId="165" fontId="6" fillId="0" borderId="4" xfId="0" applyNumberFormat="1" applyFont="1" applyBorder="1" applyAlignment="1">
      <alignment vertical="center" wrapText="1"/>
    </xf>
    <xf numFmtId="167" fontId="6" fillId="0" borderId="3" xfId="0" applyNumberFormat="1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171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167" fontId="12" fillId="0" borderId="0" xfId="0" applyNumberFormat="1" applyFont="1" applyAlignment="1">
      <alignment vertical="center" wrapText="1"/>
    </xf>
    <xf numFmtId="0" fontId="13" fillId="3" borderId="0" xfId="0" applyFont="1" applyFill="1" applyAlignment="1">
      <alignment vertical="center" wrapText="1"/>
    </xf>
    <xf numFmtId="164" fontId="13" fillId="3" borderId="0" xfId="0" applyNumberFormat="1" applyFont="1" applyFill="1" applyAlignment="1">
      <alignment vertical="center" wrapText="1"/>
    </xf>
    <xf numFmtId="169" fontId="8" fillId="0" borderId="3" xfId="0" applyNumberFormat="1" applyFont="1" applyBorder="1" applyAlignment="1">
      <alignment vertical="center" wrapText="1"/>
    </xf>
    <xf numFmtId="169" fontId="8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5" fontId="8" fillId="0" borderId="3" xfId="0" applyNumberFormat="1" applyFont="1" applyBorder="1" applyAlignment="1">
      <alignment vertical="center" wrapText="1"/>
    </xf>
    <xf numFmtId="168" fontId="3" fillId="0" borderId="3" xfId="0" applyNumberFormat="1" applyFont="1" applyBorder="1" applyAlignment="1">
      <alignment vertical="center" wrapText="1"/>
    </xf>
    <xf numFmtId="169" fontId="3" fillId="0" borderId="3" xfId="0" applyNumberFormat="1" applyFont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65" fontId="9" fillId="6" borderId="4" xfId="0" applyNumberFormat="1" applyFont="1" applyFill="1" applyBorder="1" applyAlignment="1">
      <alignment vertical="center" wrapText="1"/>
    </xf>
    <xf numFmtId="169" fontId="9" fillId="6" borderId="4" xfId="0" applyNumberFormat="1" applyFont="1" applyFill="1" applyBorder="1" applyAlignment="1">
      <alignment vertical="center" wrapText="1"/>
    </xf>
    <xf numFmtId="170" fontId="6" fillId="0" borderId="0" xfId="0" applyNumberFormat="1" applyFont="1" applyAlignment="1">
      <alignment vertical="center" wrapText="1"/>
    </xf>
    <xf numFmtId="166" fontId="8" fillId="0" borderId="3" xfId="0" applyNumberFormat="1" applyFont="1" applyBorder="1" applyAlignment="1">
      <alignment vertical="center" wrapText="1"/>
    </xf>
    <xf numFmtId="170" fontId="3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9" fontId="7" fillId="0" borderId="3" xfId="0" applyNumberFormat="1" applyFont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165" fontId="7" fillId="6" borderId="3" xfId="0" applyNumberFormat="1" applyFont="1" applyFill="1" applyBorder="1" applyAlignment="1">
      <alignment vertical="center" wrapText="1"/>
    </xf>
    <xf numFmtId="169" fontId="7" fillId="6" borderId="3" xfId="0" applyNumberFormat="1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5" fontId="7" fillId="0" borderId="4" xfId="0" applyNumberFormat="1" applyFont="1" applyBorder="1" applyAlignment="1">
      <alignment vertical="center" wrapText="1"/>
    </xf>
    <xf numFmtId="169" fontId="7" fillId="0" borderId="4" xfId="0" applyNumberFormat="1" applyFont="1" applyBorder="1" applyAlignment="1">
      <alignment vertical="center" wrapText="1"/>
    </xf>
    <xf numFmtId="165" fontId="8" fillId="0" borderId="4" xfId="0" applyNumberFormat="1" applyFont="1" applyBorder="1" applyAlignment="1">
      <alignment vertical="center" wrapText="1"/>
    </xf>
    <xf numFmtId="171" fontId="8" fillId="0" borderId="3" xfId="0" applyNumberFormat="1" applyFont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165" fontId="15" fillId="6" borderId="3" xfId="0" applyNumberFormat="1" applyFont="1" applyFill="1" applyBorder="1" applyAlignment="1">
      <alignment vertical="center" wrapText="1"/>
    </xf>
    <xf numFmtId="169" fontId="15" fillId="6" borderId="3" xfId="0" applyNumberFormat="1" applyFont="1" applyFill="1" applyBorder="1" applyAlignment="1">
      <alignment vertical="center" wrapText="1"/>
    </xf>
    <xf numFmtId="165" fontId="15" fillId="6" borderId="4" xfId="0" applyNumberFormat="1" applyFont="1" applyFill="1" applyBorder="1" applyAlignment="1">
      <alignment vertical="center" wrapText="1"/>
    </xf>
    <xf numFmtId="169" fontId="15" fillId="6" borderId="4" xfId="0" applyNumberFormat="1" applyFont="1" applyFill="1" applyBorder="1" applyAlignment="1">
      <alignment vertical="center" wrapText="1"/>
    </xf>
    <xf numFmtId="171" fontId="8" fillId="0" borderId="4" xfId="0" applyNumberFormat="1" applyFont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166" fontId="3" fillId="0" borderId="3" xfId="0" applyNumberFormat="1" applyFont="1" applyBorder="1" applyAlignment="1">
      <alignment vertical="center" wrapText="1"/>
    </xf>
    <xf numFmtId="166" fontId="8" fillId="0" borderId="4" xfId="0" applyNumberFormat="1" applyFont="1" applyBorder="1" applyAlignment="1">
      <alignment vertical="center" wrapText="1"/>
    </xf>
    <xf numFmtId="166" fontId="3" fillId="0" borderId="4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69" fontId="10" fillId="3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9" fontId="11" fillId="3" borderId="5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14" fillId="7" borderId="6" xfId="0" applyFont="1" applyFill="1" applyBorder="1" applyAlignment="1">
      <alignment vertical="center" wrapText="1"/>
    </xf>
    <xf numFmtId="0" fontId="14" fillId="7" borderId="7" xfId="0" applyFont="1" applyFill="1" applyBorder="1" applyAlignment="1">
      <alignment vertical="center" wrapText="1"/>
    </xf>
    <xf numFmtId="0" fontId="14" fillId="7" borderId="8" xfId="0" applyFont="1" applyFill="1" applyBorder="1" applyAlignment="1">
      <alignment vertical="center" wrapText="1"/>
    </xf>
    <xf numFmtId="0" fontId="14" fillId="7" borderId="9" xfId="0" applyFont="1" applyFill="1" applyBorder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14" fillId="7" borderId="11" xfId="0" applyFont="1" applyFill="1" applyBorder="1" applyAlignment="1">
      <alignment vertical="center" wrapText="1"/>
    </xf>
    <xf numFmtId="0" fontId="14" fillId="7" borderId="12" xfId="0" applyFont="1" applyFill="1" applyBorder="1" applyAlignment="1">
      <alignment vertical="center" wrapText="1"/>
    </xf>
    <xf numFmtId="0" fontId="14" fillId="7" borderId="13" xfId="0" applyFont="1" applyFill="1" applyBorder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Monthly Cost by Agent (USD): Model vs Infrastructure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 — current</c:v>
          </c:tx>
          <c:invertIfNegative val="1"/>
          <c:cat>
            <c:strRef>
              <c:f>Summary!$A$15:$A$18</c:f>
              <c:strCache>
                <c:ptCount val="4"/>
                <c:pt idx="0">
                  <c:v>Download Agent</c:v>
                </c:pt>
                <c:pt idx="1">
                  <c:v>PageIndex Agent</c:v>
                </c:pt>
                <c:pt idx="2">
                  <c:v>Answering Agent</c:v>
                </c:pt>
                <c:pt idx="3">
                  <c:v>Shared</c:v>
                </c:pt>
              </c:strCache>
            </c:strRef>
          </c:cat>
          <c:val>
            <c:numRef>
              <c:f>Summary!$B$15:$B$18</c:f>
              <c:numCache>
                <c:formatCode>\$#,##0.00;[Red]\(\$#,##0.00\);\-</c:formatCode>
                <c:ptCount val="4"/>
                <c:pt idx="0">
                  <c:v>17.688728000000001</c:v>
                </c:pt>
                <c:pt idx="1">
                  <c:v>171</c:v>
                </c:pt>
                <c:pt idx="2">
                  <c:v>186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6-7A4D-863B-AB3767D26F39}"/>
            </c:ext>
          </c:extLst>
        </c:ser>
        <c:ser>
          <c:idx val="1"/>
          <c:order val="1"/>
          <c:tx>
            <c:v>Infrastructure</c:v>
          </c:tx>
          <c:invertIfNegative val="1"/>
          <c:cat>
            <c:strRef>
              <c:f>Summary!$A$15:$A$18</c:f>
              <c:strCache>
                <c:ptCount val="4"/>
                <c:pt idx="0">
                  <c:v>Download Agent</c:v>
                </c:pt>
                <c:pt idx="1">
                  <c:v>PageIndex Agent</c:v>
                </c:pt>
                <c:pt idx="2">
                  <c:v>Answering Agent</c:v>
                </c:pt>
                <c:pt idx="3">
                  <c:v>Shared</c:v>
                </c:pt>
              </c:strCache>
            </c:strRef>
          </c:cat>
          <c:val>
            <c:numRef>
              <c:f>Summary!$C$15:$C$18</c:f>
              <c:numCache>
                <c:formatCode>\$#,##0.00;[Red]\(\$#,##0.00\);\-</c:formatCode>
                <c:ptCount val="4"/>
                <c:pt idx="0">
                  <c:v>3.6006404724999999</c:v>
                </c:pt>
                <c:pt idx="1">
                  <c:v>2.8975625000000003</c:v>
                </c:pt>
                <c:pt idx="2">
                  <c:v>1.3049739583333333</c:v>
                </c:pt>
                <c:pt idx="3">
                  <c:v>1.7777044375000002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6-7A4D-863B-AB3767D26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1117600</xdr:colOff>
      <xdr:row>47</xdr:row>
      <xdr:rowOff>12700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1270D073-F8AE-319F-7AC4-B2E47EB180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431800</xdr:colOff>
      <xdr:row>53</xdr:row>
      <xdr:rowOff>127000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1C881DF0-E8DD-E9D5-C991-F86F121DDA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1270000</xdr:colOff>
      <xdr:row>36</xdr:row>
      <xdr:rowOff>139700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1C9BCABD-C414-9977-02FC-74720F8C4D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hay" id="{2D8B10E0-4AEE-44FC-B5E4-2566EC4912C2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6-07-27T22:01:39.85" personId="{2D8B10E0-4AEE-44FC-B5E4-2566EC4912C2}" id="{D6DA0F63-E440-FC44-6694-F18E59CD216A}">
    <text>Assumption: 20 companies/month for the average case. Replace with actual monthly cohort volume.</text>
  </threadedComment>
  <threadedComment ref="B9" dT="2026-07-27T22:01:39.85" personId="{2D8B10E0-4AEE-44FC-B5E4-2566EC4912C2}" id="{D8D44390-1647-DCB2-F529-95068F448F15}">
    <text>Assumption: 12 reports/company. The download and PageIndex agents both scale with this driver.</text>
  </threadedComment>
  <threadedComment ref="B11" dT="2026-07-27T22:01:39.85" personId="{2D8B10E0-4AEE-44FC-B5E4-2566EC4912C2}" id="{B1144FCD-652E-9A8E-A82D-DE464054EA92}">
    <text>Assumption: 50 questionnaire questions/company. The answering agent processes one ReAct loop per question block.</text>
  </threadedComment>
  <threadedComment ref="G28" dT="2026-07-27T22:01:39.85" personId="{2D8B10E0-4AEE-44FC-B5E4-2566EC4912C2}" id="{A934057D-0C3E-85EF-04FF-9C5C2D7FD43F}">
    <text>Estimate: PageIndex fixed 25K input tokens plus 900 input tokens/page. The PageIndex library is absent locally, so replace with Bedrock usage telemetry after a representative run.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6-07-27T22:01:39.85" personId="{2D8B10E0-4AEE-44FC-B5E4-2566EC4912C2}" id="{F3508F0F-0441-25E7-E347-12766E130E8E}">
    <text>Source: https://aws.amazon.com/bedrock/pricing/ | Claude Sonnet 5 launch pricing through 2026-08-31.</text>
  </threadedComment>
  <threadedComment ref="C8" dT="2026-07-27T22:01:39.85" personId="{2D8B10E0-4AEE-44FC-B5E4-2566EC4912C2}" id="{6BAB9807-54F7-1ED3-CFB5-DD0CB800C699}">
    <text>Source: https://cloud.google.com/vertex-ai/generative-ai/pricing | Uses thinking-output price because code does not set thinkingBudget=0.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6-07-27T22:01:39.85" personId="{2D8B10E0-4AEE-44FC-B5E4-2566EC4912C2}" id="{E13CF248-792A-E18B-0A28-12B53A6DBCF9}">
    <text>Source: https://aws.amazon.com/bedrock/agentcore/pricing/</text>
  </threadedComment>
  <threadedComment ref="B10" dT="2026-07-27T22:01:39.85" personId="{2D8B10E0-4AEE-44FC-B5E4-2566EC4912C2}" id="{6E1687E1-CB93-963D-A612-902903537250}">
    <text>Source: https://aws.amazon.com/lambda/pricing/ | ARM first-tier duration rate.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abSelected="1" zoomScale="118" workbookViewId="0">
      <selection activeCell="A35" sqref="A35"/>
    </sheetView>
  </sheetViews>
  <sheetFormatPr baseColWidth="10" defaultColWidth="8.83203125" defaultRowHeight="14"/>
  <cols>
    <col min="1" max="1" width="24" customWidth="1"/>
    <col min="2" max="2" width="18" customWidth="1"/>
    <col min="3" max="3" width="20" customWidth="1"/>
    <col min="4" max="4" width="18" customWidth="1"/>
    <col min="5" max="7" width="20" customWidth="1"/>
    <col min="8" max="9" width="18" customWidth="1"/>
  </cols>
  <sheetData>
    <row r="1" spans="1:9" ht="34" customHeight="1">
      <c r="A1" s="58" t="s">
        <v>0</v>
      </c>
      <c r="B1" s="58" t="s">
        <v>0</v>
      </c>
      <c r="C1" s="58" t="s">
        <v>0</v>
      </c>
      <c r="D1" s="58" t="s">
        <v>0</v>
      </c>
      <c r="E1" s="58" t="s">
        <v>0</v>
      </c>
      <c r="F1" s="58" t="s">
        <v>0</v>
      </c>
      <c r="G1" s="58" t="s">
        <v>0</v>
      </c>
      <c r="H1" s="58" t="s">
        <v>0</v>
      </c>
      <c r="I1" s="58" t="s">
        <v>0</v>
      </c>
    </row>
    <row r="2" spans="1:9" ht="30" customHeight="1">
      <c r="A2" s="59" t="s">
        <v>1</v>
      </c>
      <c r="B2" s="59" t="s">
        <v>1</v>
      </c>
      <c r="C2" s="59" t="s">
        <v>1</v>
      </c>
      <c r="D2" s="59" t="s">
        <v>1</v>
      </c>
      <c r="E2" s="59" t="s">
        <v>1</v>
      </c>
      <c r="F2" s="59" t="s">
        <v>1</v>
      </c>
      <c r="G2" s="59" t="s">
        <v>1</v>
      </c>
      <c r="H2" s="59" t="s">
        <v>1</v>
      </c>
      <c r="I2" s="59" t="s">
        <v>1</v>
      </c>
    </row>
    <row r="3" spans="1:9" ht="15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60" t="s">
        <v>2</v>
      </c>
      <c r="B4" s="60" t="s">
        <v>2</v>
      </c>
      <c r="C4" s="60" t="s">
        <v>3</v>
      </c>
      <c r="D4" s="60" t="s">
        <v>3</v>
      </c>
      <c r="E4" s="60" t="s">
        <v>4</v>
      </c>
      <c r="F4" s="60" t="s">
        <v>4</v>
      </c>
      <c r="G4" s="60"/>
      <c r="H4" s="60"/>
      <c r="I4" s="60"/>
    </row>
    <row r="5" spans="1:9">
      <c r="A5" s="61">
        <f>'Model Cost'!$L$22</f>
        <v>374.68872799999997</v>
      </c>
      <c r="B5" s="62"/>
      <c r="C5" s="61">
        <f>'Infra Cost'!$H$57</f>
        <v>9.5808813683333334</v>
      </c>
      <c r="D5" s="62"/>
      <c r="E5" s="63">
        <f>A5+C5</f>
        <v>384.26960936833331</v>
      </c>
      <c r="F5" s="62"/>
      <c r="G5" s="61"/>
      <c r="H5" s="62"/>
      <c r="I5" s="62"/>
    </row>
    <row r="6" spans="1:9">
      <c r="A6" s="62"/>
      <c r="B6" s="62"/>
      <c r="C6" s="62"/>
      <c r="D6" s="62"/>
      <c r="E6" s="62"/>
      <c r="F6" s="62"/>
      <c r="G6" s="62"/>
      <c r="H6" s="62"/>
      <c r="I6" s="62"/>
    </row>
    <row r="7" spans="1:9" ht="15">
      <c r="A7" s="2"/>
      <c r="B7" s="2"/>
      <c r="C7" s="2"/>
      <c r="D7" s="2"/>
      <c r="E7" s="2"/>
      <c r="F7" s="2"/>
      <c r="G7" s="2"/>
      <c r="H7" s="2"/>
      <c r="I7" s="2"/>
    </row>
    <row r="8" spans="1:9" ht="32">
      <c r="A8" s="16" t="s">
        <v>5</v>
      </c>
      <c r="B8" s="16"/>
      <c r="C8" s="16" t="s">
        <v>6</v>
      </c>
      <c r="D8" s="16"/>
      <c r="E8" s="16" t="s">
        <v>7</v>
      </c>
      <c r="F8" s="16"/>
      <c r="G8" s="16" t="s">
        <v>8</v>
      </c>
      <c r="H8" s="16"/>
      <c r="I8" s="2"/>
    </row>
    <row r="9" spans="1:9" ht="18">
      <c r="A9" s="17">
        <f>$E$5/Assumptions!$B$8</f>
        <v>19.213480468416666</v>
      </c>
      <c r="B9" s="17"/>
      <c r="C9" s="17">
        <f>($B$15+$C$15+$B$16+$C$16)/Assumptions!$B$10</f>
        <v>0.81327887905208329</v>
      </c>
      <c r="D9" s="17"/>
      <c r="E9" s="17">
        <f>($B$17+$C$17)/Assumptions!$B$12</f>
        <v>0.18730497395833334</v>
      </c>
      <c r="F9" s="18"/>
      <c r="G9" s="19">
        <f>$A$5/$E$5</f>
        <v>0.97506729354922839</v>
      </c>
      <c r="H9" s="2"/>
      <c r="I9" s="2"/>
    </row>
    <row r="10" spans="1:9" ht="32">
      <c r="A10" s="20" t="s">
        <v>9</v>
      </c>
      <c r="B10" s="20" t="s">
        <v>10</v>
      </c>
      <c r="C10" s="20" t="s">
        <v>11</v>
      </c>
      <c r="D10" s="21">
        <v>46231</v>
      </c>
      <c r="E10" s="20" t="s">
        <v>12</v>
      </c>
      <c r="F10" s="20" t="s">
        <v>13</v>
      </c>
      <c r="G10" s="20" t="s">
        <v>14</v>
      </c>
      <c r="H10" s="20" t="str">
        <f>Checks!$B$2</f>
        <v>FAIL</v>
      </c>
      <c r="I10" s="2"/>
    </row>
    <row r="11" spans="1:9" ht="15">
      <c r="A11" s="2"/>
      <c r="B11" s="2"/>
      <c r="C11" s="2"/>
      <c r="D11" s="2"/>
      <c r="E11" s="2"/>
      <c r="F11" s="2"/>
      <c r="G11" s="2"/>
      <c r="H11" s="2"/>
      <c r="I11" s="2"/>
    </row>
    <row r="12" spans="1:9" ht="15">
      <c r="A12" s="2"/>
      <c r="B12" s="2"/>
      <c r="C12" s="2"/>
      <c r="D12" s="2"/>
      <c r="E12" s="2"/>
      <c r="F12" s="2"/>
      <c r="G12" s="2"/>
      <c r="H12" s="2"/>
      <c r="I12" s="2"/>
    </row>
    <row r="13" spans="1:9" ht="22" customHeight="1">
      <c r="A13" s="64" t="s">
        <v>15</v>
      </c>
      <c r="B13" s="64" t="s">
        <v>15</v>
      </c>
      <c r="C13" s="64" t="s">
        <v>15</v>
      </c>
      <c r="D13" s="64" t="s">
        <v>15</v>
      </c>
      <c r="E13" s="64" t="s">
        <v>15</v>
      </c>
      <c r="F13" s="64" t="s">
        <v>15</v>
      </c>
      <c r="G13" s="2"/>
      <c r="H13" s="2"/>
      <c r="I13" s="2"/>
    </row>
    <row r="14" spans="1:9" ht="16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2"/>
      <c r="H14" s="2"/>
      <c r="I14" s="2"/>
    </row>
    <row r="15" spans="1:9" ht="16">
      <c r="A15" s="3" t="s">
        <v>22</v>
      </c>
      <c r="B15" s="22">
        <f>SUMIF('Model Cost'!$A$14:$A$21,A15,'Model Cost'!$L$14:$L$21)</f>
        <v>17.688728000000001</v>
      </c>
      <c r="C15" s="22">
        <f>SUMIF('Infra Cost'!$A$30:$A$56,A15,'Infra Cost'!$H$30:$H$56)</f>
        <v>3.6006404724999999</v>
      </c>
      <c r="D15" s="22">
        <f>B15+C15</f>
        <v>21.289368472500001</v>
      </c>
      <c r="E15" s="22">
        <f>SUMIF('Model Cost'!$A$14:$A$21,A15,'Model Cost'!$M$14:$M$21)</f>
        <v>25.548728000000001</v>
      </c>
      <c r="F15" s="22">
        <f>E15+C15</f>
        <v>29.149368472500001</v>
      </c>
      <c r="G15" s="2"/>
      <c r="H15" s="2"/>
      <c r="I15" s="2"/>
    </row>
    <row r="16" spans="1:9" ht="16">
      <c r="A16" s="3" t="s">
        <v>23</v>
      </c>
      <c r="B16" s="22">
        <f>SUMIF('Model Cost'!$A$14:$A$21,A16,'Model Cost'!$L$14:$L$21)</f>
        <v>171</v>
      </c>
      <c r="C16" s="22">
        <f>SUMIF('Infra Cost'!$A$30:$A$56,A16,'Infra Cost'!$H$30:$H$56)</f>
        <v>2.8975625000000003</v>
      </c>
      <c r="D16" s="22">
        <f>B16+C16</f>
        <v>173.89756249999999</v>
      </c>
      <c r="E16" s="22">
        <f>SUMIF('Model Cost'!$A$14:$A$21,A16,'Model Cost'!$M$14:$M$21)</f>
        <v>171</v>
      </c>
      <c r="F16" s="22">
        <f>E16+C16</f>
        <v>173.89756249999999</v>
      </c>
      <c r="G16" s="2"/>
      <c r="H16" s="2"/>
      <c r="I16" s="2"/>
    </row>
    <row r="17" spans="1:9" ht="16">
      <c r="A17" s="3" t="s">
        <v>24</v>
      </c>
      <c r="B17" s="22">
        <f>SUMIF('Model Cost'!$A$14:$A$21,A17,'Model Cost'!$L$14:$L$21)</f>
        <v>186</v>
      </c>
      <c r="C17" s="22">
        <f>SUMIF('Infra Cost'!$A$30:$A$56,A17,'Infra Cost'!$H$30:$H$56)</f>
        <v>1.3049739583333333</v>
      </c>
      <c r="D17" s="22">
        <f>B17+C17</f>
        <v>187.30497395833333</v>
      </c>
      <c r="E17" s="22">
        <f>SUMIF('Model Cost'!$A$14:$A$21,A17,'Model Cost'!$M$14:$M$21)</f>
        <v>279</v>
      </c>
      <c r="F17" s="22">
        <f>E17+C17</f>
        <v>280.30497395833333</v>
      </c>
      <c r="G17" s="2"/>
      <c r="H17" s="2"/>
      <c r="I17" s="2"/>
    </row>
    <row r="18" spans="1:9" ht="16">
      <c r="A18" s="8" t="s">
        <v>25</v>
      </c>
      <c r="B18" s="23">
        <f>SUMIF('Model Cost'!$A$14:$A$21,A18,'Model Cost'!$L$14:$L$21)</f>
        <v>0</v>
      </c>
      <c r="C18" s="23">
        <f>SUMIF('Infra Cost'!$A$30:$A$56,A18,'Infra Cost'!$H$30:$H$56)</f>
        <v>1.7777044375000002</v>
      </c>
      <c r="D18" s="23">
        <f>B18+C18</f>
        <v>1.7777044375000002</v>
      </c>
      <c r="E18" s="23">
        <f>SUMIF('Model Cost'!$A$14:$A$21,A18,'Model Cost'!$M$14:$M$21)</f>
        <v>0</v>
      </c>
      <c r="F18" s="23">
        <f>E18+C18</f>
        <v>1.7777044375000002</v>
      </c>
      <c r="G18" s="2"/>
      <c r="H18" s="2"/>
      <c r="I18" s="2"/>
    </row>
    <row r="19" spans="1:9" ht="15">
      <c r="A19" s="2"/>
      <c r="B19" s="2"/>
      <c r="C19" s="2"/>
      <c r="D19" s="2"/>
      <c r="E19" s="2"/>
      <c r="F19" s="2"/>
      <c r="G19" s="2"/>
      <c r="H19" s="2"/>
      <c r="I19" s="2"/>
    </row>
    <row r="20" spans="1:9" ht="15">
      <c r="A20" s="2"/>
      <c r="B20" s="2"/>
      <c r="C20" s="2"/>
      <c r="D20" s="2"/>
      <c r="E20" s="2"/>
      <c r="F20" s="2"/>
      <c r="G20" s="2"/>
      <c r="H20" s="2"/>
      <c r="I20" s="2"/>
    </row>
    <row r="21" spans="1:9" ht="22" customHeight="1">
      <c r="A21" s="64" t="s">
        <v>26</v>
      </c>
      <c r="B21" s="64" t="s">
        <v>26</v>
      </c>
      <c r="C21" s="64" t="s">
        <v>26</v>
      </c>
      <c r="D21" s="2"/>
      <c r="E21" s="2"/>
      <c r="F21" s="2"/>
      <c r="G21" s="2"/>
      <c r="H21" s="2"/>
      <c r="I21" s="2"/>
    </row>
    <row r="22" spans="1:9" ht="16">
      <c r="A22" s="1" t="s">
        <v>27</v>
      </c>
      <c r="B22" s="1" t="s">
        <v>28</v>
      </c>
      <c r="C22" s="1" t="s">
        <v>29</v>
      </c>
      <c r="D22" s="2"/>
      <c r="E22" s="2"/>
      <c r="F22" s="2"/>
      <c r="G22" s="2"/>
      <c r="H22" s="2"/>
      <c r="I22" s="2"/>
    </row>
    <row r="23" spans="1:9" ht="16">
      <c r="A23" s="3" t="s">
        <v>30</v>
      </c>
      <c r="B23" s="22">
        <f>SUMIF('Model Cost'!$C$14:$C$21,A23,'Model Cost'!$L$14:$L$21)</f>
        <v>201.72</v>
      </c>
      <c r="C23" s="22">
        <f>SUMIF('Model Cost'!$C$14:$C$21,A23,'Model Cost'!$M$14:$M$21)</f>
        <v>302.58</v>
      </c>
      <c r="D23" s="2"/>
      <c r="E23" s="2"/>
      <c r="F23" s="2"/>
      <c r="G23" s="2"/>
      <c r="H23" s="2"/>
      <c r="I23" s="2"/>
    </row>
    <row r="24" spans="1:9" ht="16">
      <c r="A24" s="3" t="s">
        <v>31</v>
      </c>
      <c r="B24" s="22">
        <f>SUMIF('Model Cost'!$C$14:$C$21,A24,'Model Cost'!$L$14:$L$21)</f>
        <v>171</v>
      </c>
      <c r="C24" s="22">
        <f>SUMIF('Model Cost'!$C$14:$C$21,A24,'Model Cost'!$M$14:$M$21)</f>
        <v>171</v>
      </c>
      <c r="D24" s="2"/>
      <c r="E24" s="2"/>
      <c r="F24" s="2"/>
      <c r="G24" s="2"/>
      <c r="H24" s="2"/>
      <c r="I24" s="2"/>
    </row>
    <row r="25" spans="1:9" ht="16">
      <c r="A25" s="3" t="s">
        <v>32</v>
      </c>
      <c r="B25" s="22">
        <f>SUMIF('Model Cost'!$C$14:$C$21,A25,'Model Cost'!$L$14:$L$21)</f>
        <v>1.9631000000000001</v>
      </c>
      <c r="C25" s="22">
        <f>SUMIF('Model Cost'!$C$14:$C$21,A25,'Model Cost'!$M$14:$M$21)</f>
        <v>1.9631000000000001</v>
      </c>
      <c r="D25" s="2"/>
      <c r="E25" s="2"/>
      <c r="F25" s="2"/>
      <c r="G25" s="2"/>
      <c r="H25" s="2"/>
      <c r="I25" s="2"/>
    </row>
    <row r="26" spans="1:9" ht="16">
      <c r="A26" s="3" t="s">
        <v>33</v>
      </c>
      <c r="B26" s="22">
        <f>SUMIF('Model Cost'!$C$14:$C$21,A26,'Model Cost'!$L$14:$L$21)</f>
        <v>5.6279999999999993E-3</v>
      </c>
      <c r="C26" s="22">
        <f>SUMIF('Model Cost'!$C$14:$C$21,A26,'Model Cost'!$M$14:$M$21)</f>
        <v>5.6279999999999993E-3</v>
      </c>
      <c r="D26" s="2"/>
      <c r="E26" s="2"/>
      <c r="F26" s="2"/>
      <c r="G26" s="2"/>
      <c r="H26" s="2"/>
      <c r="I26" s="2"/>
    </row>
    <row r="27" spans="1:9" ht="16">
      <c r="A27" s="8" t="s">
        <v>34</v>
      </c>
      <c r="B27" s="23">
        <f>SUMIF('Model Cost'!$C$14:$C$21,A27,'Model Cost'!$L$14:$L$21)</f>
        <v>0</v>
      </c>
      <c r="C27" s="23">
        <f>SUMIF('Model Cost'!$C$14:$C$21,A27,'Model Cost'!$M$14:$M$21)</f>
        <v>0</v>
      </c>
      <c r="D27" s="2"/>
      <c r="E27" s="2"/>
      <c r="F27" s="2"/>
      <c r="G27" s="2"/>
      <c r="H27" s="2"/>
      <c r="I27" s="2"/>
    </row>
    <row r="28" spans="1:9" ht="15">
      <c r="A28" s="2"/>
      <c r="B28" s="2"/>
      <c r="C28" s="2"/>
      <c r="D28" s="2"/>
      <c r="E28" s="2"/>
      <c r="F28" s="2"/>
      <c r="G28" s="2"/>
      <c r="H28" s="2"/>
      <c r="I28" s="2"/>
    </row>
    <row r="29" spans="1:9" ht="15">
      <c r="A29" s="2"/>
      <c r="B29" s="2"/>
      <c r="C29" s="2"/>
      <c r="D29" s="2"/>
      <c r="E29" s="2"/>
      <c r="F29" s="2"/>
      <c r="G29" s="2"/>
      <c r="H29" s="2"/>
      <c r="I29" s="2"/>
    </row>
  </sheetData>
  <mergeCells count="12">
    <mergeCell ref="A21:C21"/>
    <mergeCell ref="A5:B6"/>
    <mergeCell ref="C5:D6"/>
    <mergeCell ref="E5:F6"/>
    <mergeCell ref="G5:I6"/>
    <mergeCell ref="A13:F13"/>
    <mergeCell ref="A1:I1"/>
    <mergeCell ref="A2:I2"/>
    <mergeCell ref="A4:B4"/>
    <mergeCell ref="C4:D4"/>
    <mergeCell ref="E4:F4"/>
    <mergeCell ref="G4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opLeftCell="A2" workbookViewId="0">
      <selection sqref="A1:K1"/>
    </sheetView>
  </sheetViews>
  <sheetFormatPr baseColWidth="10" defaultColWidth="8.83203125" defaultRowHeight="14"/>
  <cols>
    <col min="1" max="1" width="34" customWidth="1"/>
    <col min="2" max="2" width="16" customWidth="1"/>
    <col min="3" max="3" width="18" customWidth="1"/>
    <col min="4" max="4" width="54" customWidth="1"/>
    <col min="5" max="5" width="16" customWidth="1"/>
    <col min="6" max="6" width="14" customWidth="1"/>
    <col min="7" max="8" width="17" customWidth="1"/>
    <col min="9" max="9" width="19" customWidth="1"/>
    <col min="10" max="10" width="20" customWidth="1"/>
    <col min="11" max="11" width="15" customWidth="1"/>
  </cols>
  <sheetData>
    <row r="1" spans="1:11" ht="45.25" customHeight="1">
      <c r="A1" s="58" t="s">
        <v>35</v>
      </c>
      <c r="B1" s="58" t="s">
        <v>35</v>
      </c>
      <c r="C1" s="58" t="s">
        <v>35</v>
      </c>
      <c r="D1" s="58" t="s">
        <v>35</v>
      </c>
      <c r="E1" s="58" t="s">
        <v>35</v>
      </c>
      <c r="F1" s="58" t="s">
        <v>35</v>
      </c>
      <c r="G1" s="58" t="s">
        <v>35</v>
      </c>
      <c r="H1" s="58" t="s">
        <v>35</v>
      </c>
      <c r="I1" s="58" t="s">
        <v>35</v>
      </c>
      <c r="J1" s="58" t="s">
        <v>35</v>
      </c>
      <c r="K1" s="58" t="s">
        <v>35</v>
      </c>
    </row>
    <row r="2" spans="1:11" ht="40" customHeight="1">
      <c r="A2" s="59" t="s">
        <v>36</v>
      </c>
      <c r="B2" s="59" t="s">
        <v>36</v>
      </c>
      <c r="C2" s="59" t="s">
        <v>36</v>
      </c>
      <c r="D2" s="59" t="s">
        <v>36</v>
      </c>
      <c r="E2" s="59" t="s">
        <v>36</v>
      </c>
      <c r="F2" s="59" t="s">
        <v>36</v>
      </c>
      <c r="G2" s="59" t="s">
        <v>36</v>
      </c>
      <c r="H2" s="59" t="s">
        <v>36</v>
      </c>
      <c r="I2" s="59" t="s">
        <v>36</v>
      </c>
      <c r="J2" s="59" t="s">
        <v>36</v>
      </c>
      <c r="K2" s="59" t="s">
        <v>36</v>
      </c>
    </row>
    <row r="3" spans="1:11" ht="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9.25" customHeight="1">
      <c r="A4" s="64" t="s">
        <v>37</v>
      </c>
      <c r="B4" s="64" t="s">
        <v>37</v>
      </c>
      <c r="C4" s="64" t="s">
        <v>37</v>
      </c>
      <c r="D4" s="64" t="s">
        <v>37</v>
      </c>
      <c r="E4" s="2"/>
      <c r="F4" s="2"/>
      <c r="G4" s="2"/>
      <c r="H4" s="2"/>
      <c r="I4" s="2"/>
      <c r="J4" s="2"/>
      <c r="K4" s="2"/>
    </row>
    <row r="5" spans="1:11" ht="16">
      <c r="A5" s="1" t="s">
        <v>38</v>
      </c>
      <c r="B5" s="1" t="s">
        <v>39</v>
      </c>
      <c r="C5" s="1" t="s">
        <v>40</v>
      </c>
      <c r="D5" s="1" t="s">
        <v>41</v>
      </c>
      <c r="E5" s="2"/>
      <c r="F5" s="2"/>
      <c r="G5" s="2"/>
      <c r="H5" s="2"/>
      <c r="I5" s="2"/>
      <c r="J5" s="2"/>
      <c r="K5" s="2"/>
    </row>
    <row r="6" spans="1:11" ht="16">
      <c r="A6" s="3" t="s">
        <v>42</v>
      </c>
      <c r="B6" s="4">
        <v>46231</v>
      </c>
      <c r="C6" s="3" t="s">
        <v>43</v>
      </c>
      <c r="D6" s="3" t="s">
        <v>44</v>
      </c>
      <c r="E6" s="2"/>
      <c r="F6" s="2"/>
      <c r="G6" s="2"/>
      <c r="H6" s="2"/>
      <c r="I6" s="2"/>
      <c r="J6" s="2"/>
      <c r="K6" s="2"/>
    </row>
    <row r="7" spans="1:11" ht="16">
      <c r="A7" s="3" t="s">
        <v>45</v>
      </c>
      <c r="B7" s="5">
        <v>30</v>
      </c>
      <c r="C7" s="3" t="s">
        <v>46</v>
      </c>
      <c r="D7" s="3" t="s">
        <v>47</v>
      </c>
      <c r="E7" s="2"/>
      <c r="F7" s="2"/>
      <c r="G7" s="2"/>
      <c r="H7" s="2"/>
      <c r="I7" s="2"/>
      <c r="J7" s="2"/>
      <c r="K7" s="2"/>
    </row>
    <row r="8" spans="1:11" ht="16">
      <c r="A8" s="3" t="s">
        <v>48</v>
      </c>
      <c r="B8" s="5">
        <v>20</v>
      </c>
      <c r="C8" s="3" t="s">
        <v>49</v>
      </c>
      <c r="D8" s="3" t="s">
        <v>50</v>
      </c>
      <c r="E8" s="2"/>
      <c r="F8" s="2"/>
      <c r="G8" s="2"/>
      <c r="H8" s="2"/>
      <c r="I8" s="2"/>
      <c r="J8" s="2"/>
      <c r="K8" s="2"/>
    </row>
    <row r="9" spans="1:11" ht="16">
      <c r="A9" s="3" t="s">
        <v>51</v>
      </c>
      <c r="B9" s="5">
        <v>12</v>
      </c>
      <c r="C9" s="3" t="s">
        <v>52</v>
      </c>
      <c r="D9" s="3" t="s">
        <v>53</v>
      </c>
      <c r="E9" s="2"/>
      <c r="F9" s="2"/>
      <c r="G9" s="2"/>
      <c r="H9" s="2"/>
      <c r="I9" s="2"/>
      <c r="J9" s="2"/>
      <c r="K9" s="2"/>
    </row>
    <row r="10" spans="1:11" ht="16">
      <c r="A10" s="3" t="s">
        <v>54</v>
      </c>
      <c r="B10" s="6">
        <f>B8*B9</f>
        <v>240</v>
      </c>
      <c r="C10" s="3" t="s">
        <v>55</v>
      </c>
      <c r="D10" s="3" t="s">
        <v>56</v>
      </c>
      <c r="E10" s="2"/>
      <c r="F10" s="2"/>
      <c r="G10" s="2"/>
      <c r="H10" s="2"/>
      <c r="I10" s="2"/>
      <c r="J10" s="2"/>
      <c r="K10" s="2"/>
    </row>
    <row r="11" spans="1:11" ht="16">
      <c r="A11" s="3" t="s">
        <v>57</v>
      </c>
      <c r="B11" s="7">
        <v>50</v>
      </c>
      <c r="C11" s="3" t="s">
        <v>58</v>
      </c>
      <c r="D11" s="3" t="s">
        <v>59</v>
      </c>
      <c r="E11" s="2"/>
      <c r="F11" s="2"/>
      <c r="G11" s="2"/>
      <c r="H11" s="2"/>
      <c r="I11" s="2"/>
      <c r="J11" s="2"/>
      <c r="K11" s="2"/>
    </row>
    <row r="12" spans="1:11" ht="16">
      <c r="A12" s="3" t="s">
        <v>60</v>
      </c>
      <c r="B12" s="6">
        <f>B8*B11</f>
        <v>1000</v>
      </c>
      <c r="C12" s="3" t="s">
        <v>61</v>
      </c>
      <c r="D12" s="3" t="s">
        <v>62</v>
      </c>
      <c r="E12" s="2"/>
      <c r="F12" s="2"/>
      <c r="G12" s="2"/>
      <c r="H12" s="2"/>
      <c r="I12" s="2"/>
      <c r="J12" s="2"/>
      <c r="K12" s="2"/>
    </row>
    <row r="13" spans="1:11" ht="16">
      <c r="A13" s="3" t="s">
        <v>63</v>
      </c>
      <c r="B13" s="7">
        <v>150</v>
      </c>
      <c r="C13" s="3" t="s">
        <v>64</v>
      </c>
      <c r="D13" s="3" t="s">
        <v>65</v>
      </c>
      <c r="E13" s="2"/>
      <c r="F13" s="2"/>
      <c r="G13" s="2"/>
      <c r="H13" s="2"/>
      <c r="I13" s="2"/>
      <c r="J13" s="2"/>
      <c r="K13" s="2"/>
    </row>
    <row r="14" spans="1:11" ht="16">
      <c r="A14" s="3" t="s">
        <v>66</v>
      </c>
      <c r="B14" s="7">
        <v>10</v>
      </c>
      <c r="C14" s="3" t="s">
        <v>67</v>
      </c>
      <c r="D14" s="3" t="s">
        <v>68</v>
      </c>
      <c r="E14" s="2"/>
      <c r="F14" s="2"/>
      <c r="G14" s="2"/>
      <c r="H14" s="2"/>
      <c r="I14" s="2"/>
      <c r="J14" s="2"/>
      <c r="K14" s="2"/>
    </row>
    <row r="15" spans="1:11" ht="16">
      <c r="A15" s="3" t="s">
        <v>69</v>
      </c>
      <c r="B15" s="7">
        <v>50</v>
      </c>
      <c r="C15" s="3" t="s">
        <v>70</v>
      </c>
      <c r="D15" s="3" t="s">
        <v>71</v>
      </c>
      <c r="E15" s="2"/>
      <c r="F15" s="2"/>
      <c r="G15" s="2"/>
      <c r="H15" s="2"/>
      <c r="I15" s="2"/>
      <c r="J15" s="2"/>
      <c r="K15" s="2"/>
    </row>
    <row r="16" spans="1:11" ht="16">
      <c r="A16" s="3" t="s">
        <v>72</v>
      </c>
      <c r="B16" s="7">
        <v>1.1000000000000001</v>
      </c>
      <c r="C16" s="3" t="s">
        <v>73</v>
      </c>
      <c r="D16" s="3" t="s">
        <v>74</v>
      </c>
      <c r="E16" s="2"/>
      <c r="F16" s="2"/>
      <c r="G16" s="2"/>
      <c r="H16" s="2"/>
      <c r="I16" s="2"/>
      <c r="J16" s="2"/>
      <c r="K16" s="2"/>
    </row>
    <row r="17" spans="1:11" ht="16">
      <c r="A17" s="3" t="s">
        <v>75</v>
      </c>
      <c r="B17" s="7">
        <v>3</v>
      </c>
      <c r="C17" s="3" t="s">
        <v>70</v>
      </c>
      <c r="D17" s="3" t="s">
        <v>76</v>
      </c>
      <c r="E17" s="2"/>
      <c r="F17" s="2"/>
      <c r="G17" s="2"/>
      <c r="H17" s="2"/>
      <c r="I17" s="2"/>
      <c r="J17" s="2"/>
      <c r="K17" s="2"/>
    </row>
    <row r="18" spans="1:11" ht="16">
      <c r="A18" s="8" t="s">
        <v>77</v>
      </c>
      <c r="B18" s="9">
        <v>0.1</v>
      </c>
      <c r="C18" s="8" t="s">
        <v>70</v>
      </c>
      <c r="D18" s="8" t="s">
        <v>78</v>
      </c>
      <c r="E18" s="2"/>
      <c r="F18" s="2"/>
      <c r="G18" s="2"/>
      <c r="H18" s="2"/>
      <c r="I18" s="2"/>
      <c r="J18" s="2"/>
      <c r="K18" s="2"/>
    </row>
    <row r="19" spans="1:11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9.25" customHeight="1">
      <c r="A21" s="64" t="s">
        <v>79</v>
      </c>
      <c r="B21" s="64" t="s">
        <v>79</v>
      </c>
      <c r="C21" s="64" t="s">
        <v>79</v>
      </c>
      <c r="D21" s="64" t="s">
        <v>79</v>
      </c>
      <c r="E21" s="64" t="s">
        <v>79</v>
      </c>
      <c r="F21" s="64" t="s">
        <v>79</v>
      </c>
      <c r="G21" s="64" t="s">
        <v>79</v>
      </c>
      <c r="H21" s="64" t="s">
        <v>79</v>
      </c>
      <c r="I21" s="64" t="s">
        <v>79</v>
      </c>
      <c r="J21" s="64" t="s">
        <v>79</v>
      </c>
      <c r="K21" s="64" t="s">
        <v>79</v>
      </c>
    </row>
    <row r="22" spans="1:11" ht="32">
      <c r="A22" s="1" t="s">
        <v>16</v>
      </c>
      <c r="B22" s="1" t="s">
        <v>80</v>
      </c>
      <c r="C22" s="1" t="s">
        <v>27</v>
      </c>
      <c r="D22" s="1" t="s">
        <v>38</v>
      </c>
      <c r="E22" s="1" t="s">
        <v>81</v>
      </c>
      <c r="F22" s="1" t="s">
        <v>82</v>
      </c>
      <c r="G22" s="1" t="s">
        <v>83</v>
      </c>
      <c r="H22" s="1" t="s">
        <v>84</v>
      </c>
      <c r="I22" s="1" t="s">
        <v>85</v>
      </c>
      <c r="J22" s="1" t="s">
        <v>86</v>
      </c>
      <c r="K22" s="1" t="s">
        <v>87</v>
      </c>
    </row>
    <row r="23" spans="1:11" ht="48">
      <c r="A23" s="3" t="s">
        <v>22</v>
      </c>
      <c r="B23" s="3" t="s">
        <v>88</v>
      </c>
      <c r="C23" s="3" t="s">
        <v>30</v>
      </c>
      <c r="D23" s="3" t="s">
        <v>89</v>
      </c>
      <c r="E23" s="10">
        <f>$B$10</f>
        <v>240</v>
      </c>
      <c r="F23" s="5">
        <v>3</v>
      </c>
      <c r="G23" s="5">
        <v>2000</v>
      </c>
      <c r="H23" s="5">
        <v>250</v>
      </c>
      <c r="I23" s="10">
        <f t="shared" ref="I23:I29" si="0">E23*F23*G23</f>
        <v>1440000</v>
      </c>
      <c r="J23" s="10">
        <f t="shared" ref="J23:J29" si="1">E23*F23*H23</f>
        <v>180000</v>
      </c>
      <c r="K23" s="10">
        <f t="shared" ref="K23:K29" si="2">E23*F23</f>
        <v>720</v>
      </c>
    </row>
    <row r="24" spans="1:11" ht="48">
      <c r="A24" s="3" t="s">
        <v>22</v>
      </c>
      <c r="B24" s="3" t="s">
        <v>90</v>
      </c>
      <c r="C24" s="3" t="s">
        <v>30</v>
      </c>
      <c r="D24" s="3" t="s">
        <v>89</v>
      </c>
      <c r="E24" s="10">
        <f>$B$10</f>
        <v>240</v>
      </c>
      <c r="F24" s="5">
        <v>4</v>
      </c>
      <c r="G24" s="5">
        <v>5000</v>
      </c>
      <c r="H24" s="5">
        <v>150</v>
      </c>
      <c r="I24" s="10">
        <f t="shared" si="0"/>
        <v>4800000</v>
      </c>
      <c r="J24" s="10">
        <f t="shared" si="1"/>
        <v>144000</v>
      </c>
      <c r="K24" s="10">
        <f t="shared" si="2"/>
        <v>960</v>
      </c>
    </row>
    <row r="25" spans="1:11" ht="48">
      <c r="A25" s="3" t="s">
        <v>22</v>
      </c>
      <c r="B25" s="3" t="s">
        <v>91</v>
      </c>
      <c r="C25" s="3" t="s">
        <v>32</v>
      </c>
      <c r="D25" s="3" t="s">
        <v>89</v>
      </c>
      <c r="E25" s="10">
        <f>$B$10</f>
        <v>240</v>
      </c>
      <c r="F25" s="5">
        <v>6</v>
      </c>
      <c r="G25" s="5">
        <v>800</v>
      </c>
      <c r="H25" s="5">
        <v>350</v>
      </c>
      <c r="I25" s="10">
        <f t="shared" si="0"/>
        <v>1152000</v>
      </c>
      <c r="J25" s="10">
        <f t="shared" si="1"/>
        <v>504000</v>
      </c>
      <c r="K25" s="10">
        <f t="shared" si="2"/>
        <v>1440</v>
      </c>
    </row>
    <row r="26" spans="1:11" ht="32">
      <c r="A26" s="3" t="s">
        <v>22</v>
      </c>
      <c r="B26" s="3" t="s">
        <v>92</v>
      </c>
      <c r="C26" s="3" t="s">
        <v>32</v>
      </c>
      <c r="D26" s="3" t="s">
        <v>93</v>
      </c>
      <c r="E26" s="10">
        <f>$B$8</f>
        <v>20</v>
      </c>
      <c r="F26" s="5">
        <v>1</v>
      </c>
      <c r="G26" s="5">
        <v>600</v>
      </c>
      <c r="H26" s="5">
        <v>350</v>
      </c>
      <c r="I26" s="10">
        <f t="shared" si="0"/>
        <v>12000</v>
      </c>
      <c r="J26" s="10">
        <f t="shared" si="1"/>
        <v>7000</v>
      </c>
      <c r="K26" s="10">
        <f t="shared" si="2"/>
        <v>20</v>
      </c>
    </row>
    <row r="27" spans="1:11" ht="32">
      <c r="A27" s="3" t="s">
        <v>22</v>
      </c>
      <c r="B27" s="3" t="s">
        <v>94</v>
      </c>
      <c r="C27" s="3" t="s">
        <v>33</v>
      </c>
      <c r="D27" s="3" t="s">
        <v>89</v>
      </c>
      <c r="E27" s="10">
        <f>$B$10</f>
        <v>240</v>
      </c>
      <c r="F27" s="5">
        <v>0.05</v>
      </c>
      <c r="G27" s="5">
        <v>730</v>
      </c>
      <c r="H27" s="5">
        <v>100</v>
      </c>
      <c r="I27" s="10">
        <f t="shared" si="0"/>
        <v>8760</v>
      </c>
      <c r="J27" s="10">
        <f t="shared" si="1"/>
        <v>1200</v>
      </c>
      <c r="K27" s="10">
        <f t="shared" si="2"/>
        <v>12</v>
      </c>
    </row>
    <row r="28" spans="1:11" ht="32">
      <c r="A28" s="3" t="s">
        <v>23</v>
      </c>
      <c r="B28" s="3" t="s">
        <v>95</v>
      </c>
      <c r="C28" s="3" t="s">
        <v>31</v>
      </c>
      <c r="D28" s="3" t="s">
        <v>89</v>
      </c>
      <c r="E28" s="10">
        <f>$B$10</f>
        <v>240</v>
      </c>
      <c r="F28" s="5">
        <v>1</v>
      </c>
      <c r="G28" s="11">
        <f>25000+$B$13*900</f>
        <v>160000</v>
      </c>
      <c r="H28" s="11">
        <f>2000+$B$13*90</f>
        <v>15500</v>
      </c>
      <c r="I28" s="10">
        <f t="shared" si="0"/>
        <v>38400000</v>
      </c>
      <c r="J28" s="10">
        <f t="shared" si="1"/>
        <v>3720000</v>
      </c>
      <c r="K28" s="10">
        <f t="shared" si="2"/>
        <v>240</v>
      </c>
    </row>
    <row r="29" spans="1:11" ht="16">
      <c r="A29" s="8" t="s">
        <v>24</v>
      </c>
      <c r="B29" s="8" t="s">
        <v>96</v>
      </c>
      <c r="C29" s="8" t="s">
        <v>30</v>
      </c>
      <c r="D29" s="8" t="s">
        <v>97</v>
      </c>
      <c r="E29" s="12">
        <f>$B$12</f>
        <v>1000</v>
      </c>
      <c r="F29" s="13">
        <v>6</v>
      </c>
      <c r="G29" s="13">
        <v>12000</v>
      </c>
      <c r="H29" s="13">
        <v>700</v>
      </c>
      <c r="I29" s="12">
        <f t="shared" si="0"/>
        <v>72000000</v>
      </c>
      <c r="J29" s="12">
        <f t="shared" si="1"/>
        <v>4200000</v>
      </c>
      <c r="K29" s="12">
        <f t="shared" si="2"/>
        <v>6000</v>
      </c>
    </row>
    <row r="30" spans="1:11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9.25" customHeight="1">
      <c r="A32" s="64" t="s">
        <v>98</v>
      </c>
      <c r="B32" s="64" t="s">
        <v>98</v>
      </c>
      <c r="C32" s="64" t="s">
        <v>98</v>
      </c>
      <c r="D32" s="64" t="s">
        <v>98</v>
      </c>
      <c r="E32" s="2"/>
      <c r="F32" s="2"/>
      <c r="G32" s="2"/>
      <c r="H32" s="2"/>
      <c r="I32" s="2"/>
      <c r="J32" s="2"/>
      <c r="K32" s="2"/>
    </row>
    <row r="33" spans="1:11" ht="16">
      <c r="A33" s="1" t="s">
        <v>38</v>
      </c>
      <c r="B33" s="1" t="s">
        <v>39</v>
      </c>
      <c r="C33" s="1" t="s">
        <v>40</v>
      </c>
      <c r="D33" s="1" t="s">
        <v>41</v>
      </c>
      <c r="E33" s="2"/>
      <c r="F33" s="2"/>
      <c r="G33" s="2"/>
      <c r="H33" s="2"/>
      <c r="I33" s="2"/>
      <c r="J33" s="2"/>
      <c r="K33" s="2"/>
    </row>
    <row r="34" spans="1:11" ht="16">
      <c r="A34" s="3" t="s">
        <v>99</v>
      </c>
      <c r="B34" s="7">
        <v>180</v>
      </c>
      <c r="C34" s="3" t="s">
        <v>100</v>
      </c>
      <c r="D34" s="3" t="s">
        <v>101</v>
      </c>
      <c r="E34" s="2"/>
      <c r="F34" s="2"/>
      <c r="G34" s="2"/>
      <c r="H34" s="2"/>
      <c r="I34" s="2"/>
      <c r="J34" s="2"/>
      <c r="K34" s="2"/>
    </row>
    <row r="35" spans="1:11" ht="16">
      <c r="A35" s="3" t="s">
        <v>102</v>
      </c>
      <c r="B35" s="7">
        <v>480</v>
      </c>
      <c r="C35" s="3" t="s">
        <v>100</v>
      </c>
      <c r="D35" s="3" t="s">
        <v>103</v>
      </c>
      <c r="E35" s="2"/>
      <c r="F35" s="2"/>
      <c r="G35" s="2"/>
      <c r="H35" s="2"/>
      <c r="I35" s="2"/>
      <c r="J35" s="2"/>
      <c r="K35" s="2"/>
    </row>
    <row r="36" spans="1:11" ht="16">
      <c r="A36" s="3" t="s">
        <v>104</v>
      </c>
      <c r="B36" s="7">
        <v>1.5</v>
      </c>
      <c r="C36" s="3" t="s">
        <v>70</v>
      </c>
      <c r="D36" s="3" t="s">
        <v>105</v>
      </c>
      <c r="E36" s="2"/>
      <c r="F36" s="2"/>
      <c r="G36" s="2"/>
      <c r="H36" s="2"/>
      <c r="I36" s="2"/>
      <c r="J36" s="2"/>
      <c r="K36" s="2"/>
    </row>
    <row r="37" spans="1:11" ht="16">
      <c r="A37" s="3" t="s">
        <v>106</v>
      </c>
      <c r="B37" s="14">
        <v>0.3</v>
      </c>
      <c r="C37" s="3" t="s">
        <v>107</v>
      </c>
      <c r="D37" s="3" t="s">
        <v>108</v>
      </c>
      <c r="E37" s="2"/>
      <c r="F37" s="2"/>
      <c r="G37" s="2"/>
      <c r="H37" s="2"/>
      <c r="I37" s="2"/>
      <c r="J37" s="2"/>
      <c r="K37" s="2"/>
    </row>
    <row r="38" spans="1:11" ht="16">
      <c r="A38" s="3" t="s">
        <v>109</v>
      </c>
      <c r="B38" s="7">
        <v>60</v>
      </c>
      <c r="C38" s="3" t="s">
        <v>110</v>
      </c>
      <c r="D38" s="3" t="s">
        <v>111</v>
      </c>
      <c r="E38" s="2"/>
      <c r="F38" s="2"/>
      <c r="G38" s="2"/>
      <c r="H38" s="2"/>
      <c r="I38" s="2"/>
      <c r="J38" s="2"/>
      <c r="K38" s="2"/>
    </row>
    <row r="39" spans="1:11" ht="16">
      <c r="A39" s="3" t="s">
        <v>112</v>
      </c>
      <c r="B39" s="7">
        <v>2</v>
      </c>
      <c r="C39" s="3" t="s">
        <v>113</v>
      </c>
      <c r="D39" s="3" t="s">
        <v>114</v>
      </c>
      <c r="E39" s="2"/>
      <c r="F39" s="2"/>
      <c r="G39" s="2"/>
      <c r="H39" s="2"/>
      <c r="I39" s="2"/>
      <c r="J39" s="2"/>
      <c r="K39" s="2"/>
    </row>
    <row r="40" spans="1:11" ht="16">
      <c r="A40" s="3" t="s">
        <v>115</v>
      </c>
      <c r="B40" s="7">
        <v>240</v>
      </c>
      <c r="C40" s="3" t="s">
        <v>110</v>
      </c>
      <c r="D40" s="3" t="s">
        <v>116</v>
      </c>
      <c r="E40" s="2"/>
      <c r="F40" s="2"/>
      <c r="G40" s="2"/>
      <c r="H40" s="2"/>
      <c r="I40" s="2"/>
      <c r="J40" s="2"/>
      <c r="K40" s="2"/>
    </row>
    <row r="41" spans="1:11" ht="16">
      <c r="A41" s="3" t="s">
        <v>117</v>
      </c>
      <c r="B41" s="7">
        <v>4</v>
      </c>
      <c r="C41" s="3" t="s">
        <v>70</v>
      </c>
      <c r="D41" s="3" t="s">
        <v>118</v>
      </c>
      <c r="E41" s="2"/>
      <c r="F41" s="2"/>
      <c r="G41" s="2"/>
      <c r="H41" s="2"/>
      <c r="I41" s="2"/>
      <c r="J41" s="2"/>
      <c r="K41" s="2"/>
    </row>
    <row r="42" spans="1:11" ht="16">
      <c r="A42" s="3" t="s">
        <v>119</v>
      </c>
      <c r="B42" s="7">
        <v>300</v>
      </c>
      <c r="C42" s="3" t="s">
        <v>100</v>
      </c>
      <c r="D42" s="3" t="s">
        <v>120</v>
      </c>
      <c r="E42" s="2"/>
      <c r="F42" s="2"/>
      <c r="G42" s="2"/>
      <c r="H42" s="2"/>
      <c r="I42" s="2"/>
      <c r="J42" s="2"/>
      <c r="K42" s="2"/>
    </row>
    <row r="43" spans="1:11" ht="16">
      <c r="A43" s="3" t="s">
        <v>121</v>
      </c>
      <c r="B43" s="7">
        <v>600</v>
      </c>
      <c r="C43" s="3" t="s">
        <v>100</v>
      </c>
      <c r="D43" s="3" t="s">
        <v>122</v>
      </c>
      <c r="E43" s="2"/>
      <c r="F43" s="2"/>
      <c r="G43" s="2"/>
      <c r="H43" s="2"/>
      <c r="I43" s="2"/>
      <c r="J43" s="2"/>
      <c r="K43" s="2"/>
    </row>
    <row r="44" spans="1:11" ht="16">
      <c r="A44" s="3" t="s">
        <v>123</v>
      </c>
      <c r="B44" s="7">
        <v>2</v>
      </c>
      <c r="C44" s="3" t="s">
        <v>70</v>
      </c>
      <c r="D44" s="3" t="s">
        <v>124</v>
      </c>
      <c r="E44" s="2"/>
      <c r="F44" s="2"/>
      <c r="G44" s="2"/>
      <c r="H44" s="2"/>
      <c r="I44" s="2"/>
      <c r="J44" s="2"/>
      <c r="K44" s="2"/>
    </row>
    <row r="45" spans="1:11" ht="16">
      <c r="A45" s="3" t="s">
        <v>125</v>
      </c>
      <c r="B45" s="7">
        <v>30</v>
      </c>
      <c r="C45" s="3" t="s">
        <v>126</v>
      </c>
      <c r="D45" s="3" t="s">
        <v>127</v>
      </c>
      <c r="E45" s="2"/>
      <c r="F45" s="2"/>
      <c r="G45" s="2"/>
      <c r="H45" s="2"/>
      <c r="I45" s="2"/>
      <c r="J45" s="2"/>
      <c r="K45" s="2"/>
    </row>
    <row r="46" spans="1:11" ht="16">
      <c r="A46" s="3" t="s">
        <v>128</v>
      </c>
      <c r="B46" s="7">
        <v>120</v>
      </c>
      <c r="C46" s="3" t="s">
        <v>126</v>
      </c>
      <c r="D46" s="3" t="s">
        <v>129</v>
      </c>
      <c r="E46" s="2"/>
      <c r="F46" s="2"/>
      <c r="G46" s="2"/>
      <c r="H46" s="2"/>
      <c r="I46" s="2"/>
      <c r="J46" s="2"/>
      <c r="K46" s="2"/>
    </row>
    <row r="47" spans="1:11" ht="16">
      <c r="A47" s="3" t="s">
        <v>130</v>
      </c>
      <c r="B47" s="7">
        <v>1</v>
      </c>
      <c r="C47" s="3" t="s">
        <v>70</v>
      </c>
      <c r="D47" s="3" t="s">
        <v>105</v>
      </c>
      <c r="E47" s="2"/>
      <c r="F47" s="2"/>
      <c r="G47" s="2"/>
      <c r="H47" s="2"/>
      <c r="I47" s="2"/>
      <c r="J47" s="2"/>
      <c r="K47" s="2"/>
    </row>
    <row r="48" spans="1:11" ht="16">
      <c r="A48" s="3" t="s">
        <v>131</v>
      </c>
      <c r="B48" s="7">
        <v>5</v>
      </c>
      <c r="C48" s="3" t="s">
        <v>132</v>
      </c>
      <c r="D48" s="3" t="s">
        <v>133</v>
      </c>
      <c r="E48" s="2"/>
      <c r="F48" s="2"/>
      <c r="G48" s="2"/>
      <c r="H48" s="2"/>
      <c r="I48" s="2"/>
      <c r="J48" s="2"/>
      <c r="K48" s="2"/>
    </row>
    <row r="49" spans="1:11" ht="16">
      <c r="A49" s="3" t="s">
        <v>134</v>
      </c>
      <c r="B49" s="7">
        <v>0.5</v>
      </c>
      <c r="C49" s="3" t="s">
        <v>70</v>
      </c>
      <c r="D49" s="3" t="s">
        <v>135</v>
      </c>
      <c r="E49" s="2"/>
      <c r="F49" s="2"/>
      <c r="G49" s="2"/>
      <c r="H49" s="2"/>
      <c r="I49" s="2"/>
      <c r="J49" s="2"/>
      <c r="K49" s="2"/>
    </row>
    <row r="50" spans="1:11" ht="32">
      <c r="A50" s="3" t="s">
        <v>136</v>
      </c>
      <c r="B50" s="14">
        <v>0.05</v>
      </c>
      <c r="C50" s="3" t="s">
        <v>137</v>
      </c>
      <c r="D50" s="3" t="s">
        <v>138</v>
      </c>
      <c r="E50" s="2"/>
      <c r="F50" s="2"/>
      <c r="G50" s="2"/>
      <c r="H50" s="2"/>
      <c r="I50" s="2"/>
      <c r="J50" s="2"/>
      <c r="K50" s="2"/>
    </row>
    <row r="51" spans="1:11" ht="16">
      <c r="A51" s="3" t="s">
        <v>139</v>
      </c>
      <c r="B51" s="7">
        <v>5</v>
      </c>
      <c r="C51" s="3" t="s">
        <v>67</v>
      </c>
      <c r="D51" s="3" t="s">
        <v>140</v>
      </c>
      <c r="E51" s="2"/>
      <c r="F51" s="2"/>
      <c r="G51" s="2"/>
      <c r="H51" s="2"/>
      <c r="I51" s="2"/>
      <c r="J51" s="2"/>
      <c r="K51" s="2"/>
    </row>
    <row r="52" spans="1:11" ht="16">
      <c r="A52" s="3" t="s">
        <v>141</v>
      </c>
      <c r="B52" s="7">
        <v>3</v>
      </c>
      <c r="C52" s="3" t="s">
        <v>67</v>
      </c>
      <c r="D52" s="3" t="s">
        <v>142</v>
      </c>
      <c r="E52" s="2"/>
      <c r="F52" s="2"/>
      <c r="G52" s="2"/>
      <c r="H52" s="2"/>
      <c r="I52" s="2"/>
      <c r="J52" s="2"/>
      <c r="K52" s="2"/>
    </row>
    <row r="53" spans="1:11" ht="16">
      <c r="A53" s="3" t="s">
        <v>143</v>
      </c>
      <c r="B53" s="7">
        <v>0.5</v>
      </c>
      <c r="C53" s="3" t="s">
        <v>144</v>
      </c>
      <c r="D53" s="3" t="s">
        <v>145</v>
      </c>
      <c r="E53" s="2"/>
      <c r="F53" s="2"/>
      <c r="G53" s="2"/>
      <c r="H53" s="2"/>
      <c r="I53" s="2"/>
      <c r="J53" s="2"/>
      <c r="K53" s="2"/>
    </row>
    <row r="54" spans="1:11" ht="16">
      <c r="A54" s="3" t="s">
        <v>146</v>
      </c>
      <c r="B54" s="7">
        <v>0.1</v>
      </c>
      <c r="C54" s="3" t="s">
        <v>147</v>
      </c>
      <c r="D54" s="3" t="s">
        <v>148</v>
      </c>
      <c r="E54" s="2"/>
      <c r="F54" s="2"/>
      <c r="G54" s="2"/>
      <c r="H54" s="2"/>
      <c r="I54" s="2"/>
      <c r="J54" s="2"/>
      <c r="K54" s="2"/>
    </row>
    <row r="55" spans="1:11" ht="16">
      <c r="A55" s="3" t="s">
        <v>149</v>
      </c>
      <c r="B55" s="7">
        <v>6</v>
      </c>
      <c r="C55" s="3" t="s">
        <v>150</v>
      </c>
      <c r="D55" s="3" t="s">
        <v>151</v>
      </c>
      <c r="E55" s="2"/>
      <c r="F55" s="2"/>
      <c r="G55" s="2"/>
      <c r="H55" s="2"/>
      <c r="I55" s="2"/>
      <c r="J55" s="2"/>
      <c r="K55" s="2"/>
    </row>
    <row r="56" spans="1:11" ht="16">
      <c r="A56" s="8" t="s">
        <v>152</v>
      </c>
      <c r="B56" s="9">
        <v>0.1</v>
      </c>
      <c r="C56" s="8" t="s">
        <v>153</v>
      </c>
      <c r="D56" s="8" t="s">
        <v>154</v>
      </c>
      <c r="E56" s="2"/>
      <c r="F56" s="2"/>
      <c r="G56" s="2"/>
      <c r="H56" s="2"/>
      <c r="I56" s="2"/>
      <c r="J56" s="2"/>
      <c r="K56" s="2"/>
    </row>
  </sheetData>
  <mergeCells count="5">
    <mergeCell ref="A1:K1"/>
    <mergeCell ref="A2:K2"/>
    <mergeCell ref="A4:D4"/>
    <mergeCell ref="A21:K21"/>
    <mergeCell ref="A32:D3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workbookViewId="0">
      <selection sqref="A1:M1"/>
    </sheetView>
  </sheetViews>
  <sheetFormatPr baseColWidth="10" defaultColWidth="8.83203125" defaultRowHeight="14"/>
  <cols>
    <col min="1" max="1" width="19" customWidth="1"/>
    <col min="2" max="2" width="38" customWidth="1"/>
    <col min="3" max="3" width="29" customWidth="1"/>
    <col min="4" max="4" width="15" customWidth="1"/>
    <col min="5" max="6" width="17" customWidth="1"/>
    <col min="7" max="10" width="13" customWidth="1"/>
    <col min="11" max="12" width="15" customWidth="1"/>
    <col min="13" max="13" width="17" customWidth="1"/>
  </cols>
  <sheetData>
    <row r="1" spans="1:13" ht="45.25" customHeight="1">
      <c r="A1" s="58" t="s">
        <v>155</v>
      </c>
      <c r="B1" s="58" t="s">
        <v>155</v>
      </c>
      <c r="C1" s="58" t="s">
        <v>155</v>
      </c>
      <c r="D1" s="58" t="s">
        <v>155</v>
      </c>
      <c r="E1" s="58" t="s">
        <v>155</v>
      </c>
      <c r="F1" s="58" t="s">
        <v>155</v>
      </c>
      <c r="G1" s="58" t="s">
        <v>155</v>
      </c>
      <c r="H1" s="58" t="s">
        <v>155</v>
      </c>
      <c r="I1" s="58" t="s">
        <v>155</v>
      </c>
      <c r="J1" s="58" t="s">
        <v>155</v>
      </c>
      <c r="K1" s="58" t="s">
        <v>155</v>
      </c>
      <c r="L1" s="58" t="s">
        <v>155</v>
      </c>
      <c r="M1" s="58" t="s">
        <v>155</v>
      </c>
    </row>
    <row r="2" spans="1:13" ht="40" customHeight="1">
      <c r="A2" s="59" t="s">
        <v>156</v>
      </c>
      <c r="B2" s="59" t="s">
        <v>156</v>
      </c>
      <c r="C2" s="59" t="s">
        <v>156</v>
      </c>
      <c r="D2" s="59" t="s">
        <v>156</v>
      </c>
      <c r="E2" s="59" t="s">
        <v>156</v>
      </c>
      <c r="F2" s="59" t="s">
        <v>156</v>
      </c>
      <c r="G2" s="59" t="s">
        <v>156</v>
      </c>
      <c r="H2" s="59" t="s">
        <v>156</v>
      </c>
      <c r="I2" s="59" t="s">
        <v>156</v>
      </c>
      <c r="J2" s="59" t="s">
        <v>156</v>
      </c>
      <c r="K2" s="59" t="s">
        <v>156</v>
      </c>
      <c r="L2" s="59" t="s">
        <v>156</v>
      </c>
      <c r="M2" s="59" t="s">
        <v>156</v>
      </c>
    </row>
    <row r="3" spans="1:13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9.25" customHeight="1">
      <c r="A4" s="64" t="s">
        <v>157</v>
      </c>
      <c r="B4" s="64" t="s">
        <v>157</v>
      </c>
      <c r="C4" s="64" t="s">
        <v>157</v>
      </c>
      <c r="D4" s="64" t="s">
        <v>157</v>
      </c>
      <c r="E4" s="64" t="s">
        <v>157</v>
      </c>
      <c r="F4" s="64" t="s">
        <v>157</v>
      </c>
      <c r="G4" s="2"/>
      <c r="H4" s="64" t="s">
        <v>158</v>
      </c>
      <c r="I4" s="64" t="s">
        <v>158</v>
      </c>
      <c r="J4" s="2"/>
      <c r="K4" s="2"/>
      <c r="L4" s="2"/>
      <c r="M4" s="2"/>
    </row>
    <row r="5" spans="1:13" ht="32">
      <c r="A5" s="15" t="s">
        <v>159</v>
      </c>
      <c r="B5" s="15" t="s">
        <v>160</v>
      </c>
      <c r="C5" s="15" t="s">
        <v>161</v>
      </c>
      <c r="D5" s="15" t="s">
        <v>162</v>
      </c>
      <c r="E5" s="15" t="s">
        <v>163</v>
      </c>
      <c r="F5" s="15" t="s">
        <v>164</v>
      </c>
      <c r="G5" s="2"/>
      <c r="H5" s="24" t="s">
        <v>165</v>
      </c>
      <c r="I5" s="25">
        <v>1500</v>
      </c>
      <c r="J5" s="2"/>
      <c r="K5" s="2"/>
      <c r="L5" s="2"/>
      <c r="M5" s="2"/>
    </row>
    <row r="6" spans="1:13" ht="32">
      <c r="A6" s="2" t="s">
        <v>30</v>
      </c>
      <c r="B6" s="26">
        <v>2</v>
      </c>
      <c r="C6" s="26">
        <v>10</v>
      </c>
      <c r="D6" s="26">
        <v>3</v>
      </c>
      <c r="E6" s="26">
        <v>15</v>
      </c>
      <c r="F6" s="2" t="s">
        <v>166</v>
      </c>
      <c r="G6" s="2"/>
      <c r="H6" s="24" t="s">
        <v>167</v>
      </c>
      <c r="I6" s="26">
        <v>35</v>
      </c>
      <c r="J6" s="2"/>
      <c r="K6" s="2"/>
      <c r="L6" s="2"/>
      <c r="M6" s="2"/>
    </row>
    <row r="7" spans="1:13" ht="48">
      <c r="A7" s="2" t="s">
        <v>31</v>
      </c>
      <c r="B7" s="26">
        <v>3</v>
      </c>
      <c r="C7" s="26">
        <v>15</v>
      </c>
      <c r="D7" s="26">
        <v>3</v>
      </c>
      <c r="E7" s="26">
        <v>15</v>
      </c>
      <c r="F7" s="2" t="s">
        <v>168</v>
      </c>
      <c r="G7" s="2"/>
      <c r="H7" s="24" t="s">
        <v>169</v>
      </c>
      <c r="I7" s="2" t="s">
        <v>170</v>
      </c>
      <c r="J7" s="2"/>
      <c r="K7" s="2"/>
      <c r="L7" s="2"/>
      <c r="M7" s="2"/>
    </row>
    <row r="8" spans="1:13" ht="64">
      <c r="A8" s="2" t="s">
        <v>32</v>
      </c>
      <c r="B8" s="26">
        <v>0.15</v>
      </c>
      <c r="C8" s="26">
        <v>3.5</v>
      </c>
      <c r="D8" s="26">
        <v>0.15</v>
      </c>
      <c r="E8" s="26">
        <v>3.5</v>
      </c>
      <c r="F8" s="2" t="s">
        <v>171</v>
      </c>
      <c r="G8" s="2"/>
      <c r="H8" s="2"/>
      <c r="I8" s="2"/>
      <c r="J8" s="2"/>
      <c r="K8" s="2"/>
      <c r="L8" s="2"/>
      <c r="M8" s="2"/>
    </row>
    <row r="9" spans="1:13" ht="32">
      <c r="A9" s="2" t="s">
        <v>33</v>
      </c>
      <c r="B9" s="26">
        <v>0.3</v>
      </c>
      <c r="C9" s="26">
        <v>2.5</v>
      </c>
      <c r="D9" s="26">
        <v>0.3</v>
      </c>
      <c r="E9" s="26">
        <v>2.5</v>
      </c>
      <c r="F9" s="2" t="s">
        <v>172</v>
      </c>
      <c r="G9" s="2"/>
      <c r="H9" s="2"/>
      <c r="I9" s="2"/>
      <c r="J9" s="2"/>
      <c r="K9" s="2"/>
      <c r="L9" s="2"/>
      <c r="M9" s="2"/>
    </row>
    <row r="10" spans="1:13" ht="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29.25" customHeight="1">
      <c r="A12" s="64" t="s">
        <v>173</v>
      </c>
      <c r="B12" s="64" t="s">
        <v>173</v>
      </c>
      <c r="C12" s="64" t="s">
        <v>173</v>
      </c>
      <c r="D12" s="64" t="s">
        <v>173</v>
      </c>
      <c r="E12" s="64" t="s">
        <v>173</v>
      </c>
      <c r="F12" s="64" t="s">
        <v>173</v>
      </c>
      <c r="G12" s="64" t="s">
        <v>173</v>
      </c>
      <c r="H12" s="64" t="s">
        <v>173</v>
      </c>
      <c r="I12" s="64" t="s">
        <v>173</v>
      </c>
      <c r="J12" s="64" t="s">
        <v>173</v>
      </c>
      <c r="K12" s="64" t="s">
        <v>173</v>
      </c>
      <c r="L12" s="64" t="s">
        <v>173</v>
      </c>
      <c r="M12" s="64" t="s">
        <v>173</v>
      </c>
    </row>
    <row r="13" spans="1:13" ht="16">
      <c r="A13" s="1" t="s">
        <v>16</v>
      </c>
      <c r="B13" s="1" t="s">
        <v>80</v>
      </c>
      <c r="C13" s="1" t="s">
        <v>27</v>
      </c>
      <c r="D13" s="1" t="s">
        <v>87</v>
      </c>
      <c r="E13" s="1" t="s">
        <v>174</v>
      </c>
      <c r="F13" s="1" t="s">
        <v>175</v>
      </c>
      <c r="G13" s="1" t="s">
        <v>176</v>
      </c>
      <c r="H13" s="1" t="s">
        <v>177</v>
      </c>
      <c r="I13" s="1" t="s">
        <v>178</v>
      </c>
      <c r="J13" s="1" t="s">
        <v>179</v>
      </c>
      <c r="K13" s="1" t="s">
        <v>180</v>
      </c>
      <c r="L13" s="1" t="s">
        <v>181</v>
      </c>
      <c r="M13" s="1" t="s">
        <v>182</v>
      </c>
    </row>
    <row r="14" spans="1:13" ht="16">
      <c r="A14" s="3" t="s">
        <v>22</v>
      </c>
      <c r="B14" s="3" t="s">
        <v>88</v>
      </c>
      <c r="C14" s="3" t="s">
        <v>30</v>
      </c>
      <c r="D14" s="27">
        <f>Assumptions!K23</f>
        <v>720</v>
      </c>
      <c r="E14" s="27">
        <f>Assumptions!I23</f>
        <v>1440000</v>
      </c>
      <c r="F14" s="27">
        <f>Assumptions!J23</f>
        <v>180000</v>
      </c>
      <c r="G14" s="28">
        <f>$B$6</f>
        <v>2</v>
      </c>
      <c r="H14" s="28">
        <f>$C$6</f>
        <v>10</v>
      </c>
      <c r="I14" s="29">
        <f t="shared" ref="I14:J20" si="0">E14/1000000*G14</f>
        <v>2.88</v>
      </c>
      <c r="J14" s="29">
        <f t="shared" si="0"/>
        <v>1.7999999999999998</v>
      </c>
      <c r="K14" s="29">
        <v>0</v>
      </c>
      <c r="L14" s="29">
        <f t="shared" ref="L14:L20" si="1">I14+J14+K14</f>
        <v>4.68</v>
      </c>
      <c r="M14" s="29">
        <f>E14/1000000*$D$6+F14/1000000*$E$6+K14</f>
        <v>7.02</v>
      </c>
    </row>
    <row r="15" spans="1:13" ht="16">
      <c r="A15" s="3" t="s">
        <v>22</v>
      </c>
      <c r="B15" s="3" t="s">
        <v>90</v>
      </c>
      <c r="C15" s="3" t="s">
        <v>30</v>
      </c>
      <c r="D15" s="27">
        <f>Assumptions!K24</f>
        <v>960</v>
      </c>
      <c r="E15" s="27">
        <f>Assumptions!I24</f>
        <v>4800000</v>
      </c>
      <c r="F15" s="27">
        <f>Assumptions!J24</f>
        <v>144000</v>
      </c>
      <c r="G15" s="28">
        <f>$B$6</f>
        <v>2</v>
      </c>
      <c r="H15" s="28">
        <f>$C$6</f>
        <v>10</v>
      </c>
      <c r="I15" s="29">
        <f t="shared" si="0"/>
        <v>9.6</v>
      </c>
      <c r="J15" s="29">
        <f t="shared" si="0"/>
        <v>1.44</v>
      </c>
      <c r="K15" s="29">
        <v>0</v>
      </c>
      <c r="L15" s="29">
        <f t="shared" si="1"/>
        <v>11.04</v>
      </c>
      <c r="M15" s="29">
        <f>E15/1000000*$D$6+F15/1000000*$E$6+K15</f>
        <v>16.559999999999999</v>
      </c>
    </row>
    <row r="16" spans="1:13" ht="16">
      <c r="A16" s="3" t="s">
        <v>22</v>
      </c>
      <c r="B16" s="3" t="s">
        <v>91</v>
      </c>
      <c r="C16" s="3" t="s">
        <v>32</v>
      </c>
      <c r="D16" s="27">
        <f>Assumptions!K25</f>
        <v>1440</v>
      </c>
      <c r="E16" s="27">
        <f>Assumptions!I25</f>
        <v>1152000</v>
      </c>
      <c r="F16" s="27">
        <f>Assumptions!J25</f>
        <v>504000</v>
      </c>
      <c r="G16" s="28">
        <f>$B$8</f>
        <v>0.15</v>
      </c>
      <c r="H16" s="28">
        <f>$C$8</f>
        <v>3.5</v>
      </c>
      <c r="I16" s="29">
        <f t="shared" si="0"/>
        <v>0.17279999999999998</v>
      </c>
      <c r="J16" s="29">
        <f t="shared" si="0"/>
        <v>1.764</v>
      </c>
      <c r="K16" s="29">
        <v>0</v>
      </c>
      <c r="L16" s="29">
        <f t="shared" si="1"/>
        <v>1.9368000000000001</v>
      </c>
      <c r="M16" s="29">
        <f>E16/1000000*$D$8+F16/1000000*$E$8+K16</f>
        <v>1.9368000000000001</v>
      </c>
    </row>
    <row r="17" spans="1:13" ht="16">
      <c r="A17" s="3" t="s">
        <v>22</v>
      </c>
      <c r="B17" s="3" t="s">
        <v>92</v>
      </c>
      <c r="C17" s="3" t="s">
        <v>32</v>
      </c>
      <c r="D17" s="27">
        <f>Assumptions!K26</f>
        <v>20</v>
      </c>
      <c r="E17" s="27">
        <f>Assumptions!I26</f>
        <v>12000</v>
      </c>
      <c r="F17" s="27">
        <f>Assumptions!J26</f>
        <v>7000</v>
      </c>
      <c r="G17" s="28">
        <f>$B$8</f>
        <v>0.15</v>
      </c>
      <c r="H17" s="28">
        <f>$C$8</f>
        <v>3.5</v>
      </c>
      <c r="I17" s="29">
        <f t="shared" si="0"/>
        <v>1.8E-3</v>
      </c>
      <c r="J17" s="29">
        <f t="shared" si="0"/>
        <v>2.4500000000000001E-2</v>
      </c>
      <c r="K17" s="29">
        <v>0</v>
      </c>
      <c r="L17" s="29">
        <f t="shared" si="1"/>
        <v>2.63E-2</v>
      </c>
      <c r="M17" s="29">
        <f>E17/1000000*$D$8+F17/1000000*$E$8+K17</f>
        <v>2.63E-2</v>
      </c>
    </row>
    <row r="18" spans="1:13" ht="16">
      <c r="A18" s="3" t="s">
        <v>22</v>
      </c>
      <c r="B18" s="3" t="s">
        <v>94</v>
      </c>
      <c r="C18" s="3" t="s">
        <v>33</v>
      </c>
      <c r="D18" s="27">
        <f>Assumptions!K27</f>
        <v>12</v>
      </c>
      <c r="E18" s="27">
        <f>Assumptions!I27</f>
        <v>8760</v>
      </c>
      <c r="F18" s="27">
        <f>Assumptions!J27</f>
        <v>1200</v>
      </c>
      <c r="G18" s="28">
        <f>$B$9</f>
        <v>0.3</v>
      </c>
      <c r="H18" s="28">
        <f>$C$9</f>
        <v>2.5</v>
      </c>
      <c r="I18" s="29">
        <f t="shared" si="0"/>
        <v>2.6280000000000001E-3</v>
      </c>
      <c r="J18" s="29">
        <f t="shared" si="0"/>
        <v>2.9999999999999996E-3</v>
      </c>
      <c r="K18" s="29">
        <v>0</v>
      </c>
      <c r="L18" s="29">
        <f t="shared" si="1"/>
        <v>5.6279999999999993E-3</v>
      </c>
      <c r="M18" s="29">
        <f>E18/1000000*$D$9+F18/1000000*$E$9+K18</f>
        <v>5.6279999999999993E-3</v>
      </c>
    </row>
    <row r="19" spans="1:13" ht="16">
      <c r="A19" s="3" t="s">
        <v>23</v>
      </c>
      <c r="B19" s="3" t="s">
        <v>95</v>
      </c>
      <c r="C19" s="3" t="s">
        <v>31</v>
      </c>
      <c r="D19" s="27">
        <f>Assumptions!K28</f>
        <v>240</v>
      </c>
      <c r="E19" s="27">
        <f>Assumptions!I28</f>
        <v>38400000</v>
      </c>
      <c r="F19" s="27">
        <f>Assumptions!J28</f>
        <v>3720000</v>
      </c>
      <c r="G19" s="28">
        <f>$B$7</f>
        <v>3</v>
      </c>
      <c r="H19" s="28">
        <f>$C$7</f>
        <v>15</v>
      </c>
      <c r="I19" s="29">
        <f t="shared" si="0"/>
        <v>115.19999999999999</v>
      </c>
      <c r="J19" s="29">
        <f t="shared" si="0"/>
        <v>55.800000000000004</v>
      </c>
      <c r="K19" s="29">
        <v>0</v>
      </c>
      <c r="L19" s="29">
        <f t="shared" si="1"/>
        <v>171</v>
      </c>
      <c r="M19" s="29">
        <f>E19/1000000*$D$7+F19/1000000*$E$7+K19</f>
        <v>171</v>
      </c>
    </row>
    <row r="20" spans="1:13" ht="16">
      <c r="A20" s="3" t="s">
        <v>24</v>
      </c>
      <c r="B20" s="3" t="s">
        <v>96</v>
      </c>
      <c r="C20" s="3" t="s">
        <v>30</v>
      </c>
      <c r="D20" s="27">
        <f>Assumptions!K29</f>
        <v>6000</v>
      </c>
      <c r="E20" s="27">
        <f>Assumptions!I29</f>
        <v>72000000</v>
      </c>
      <c r="F20" s="27">
        <f>Assumptions!J29</f>
        <v>4200000</v>
      </c>
      <c r="G20" s="28">
        <f>$B$6</f>
        <v>2</v>
      </c>
      <c r="H20" s="28">
        <f>$C$6</f>
        <v>10</v>
      </c>
      <c r="I20" s="29">
        <f t="shared" si="0"/>
        <v>144</v>
      </c>
      <c r="J20" s="29">
        <f t="shared" si="0"/>
        <v>42</v>
      </c>
      <c r="K20" s="29">
        <v>0</v>
      </c>
      <c r="L20" s="29">
        <f t="shared" si="1"/>
        <v>186</v>
      </c>
      <c r="M20" s="29">
        <f>E20/1000000*$D$6+F20/1000000*$E$6+K20</f>
        <v>279</v>
      </c>
    </row>
    <row r="21" spans="1:13" ht="16">
      <c r="A21" s="3" t="s">
        <v>22</v>
      </c>
      <c r="B21" s="3" t="s">
        <v>183</v>
      </c>
      <c r="C21" s="3" t="s">
        <v>34</v>
      </c>
      <c r="D21" s="10">
        <f>D16+D17</f>
        <v>1460</v>
      </c>
      <c r="E21" s="10">
        <v>0</v>
      </c>
      <c r="F21" s="10">
        <v>0</v>
      </c>
      <c r="G21" s="28">
        <v>0</v>
      </c>
      <c r="H21" s="28">
        <v>0</v>
      </c>
      <c r="I21" s="29">
        <v>0</v>
      </c>
      <c r="J21" s="29">
        <v>0</v>
      </c>
      <c r="K21" s="29">
        <f>MAX(0,D21/Assumptions!$B$7-$I$5)*Assumptions!$B$7*$I$6/1000</f>
        <v>0</v>
      </c>
      <c r="L21" s="29">
        <f>K21</f>
        <v>0</v>
      </c>
      <c r="M21" s="29">
        <f>L21</f>
        <v>0</v>
      </c>
    </row>
    <row r="22" spans="1:13" ht="16">
      <c r="A22" s="30" t="s">
        <v>184</v>
      </c>
      <c r="B22" s="30"/>
      <c r="C22" s="30"/>
      <c r="D22" s="31">
        <f>SUM(D14:D21)</f>
        <v>10852</v>
      </c>
      <c r="E22" s="31">
        <f>SUM(E14:E21)</f>
        <v>117812760</v>
      </c>
      <c r="F22" s="31">
        <f>SUM(F14:F21)</f>
        <v>8756200</v>
      </c>
      <c r="G22" s="30"/>
      <c r="H22" s="30"/>
      <c r="I22" s="32">
        <f>SUM(I14:I21)</f>
        <v>271.85722799999996</v>
      </c>
      <c r="J22" s="32">
        <f>SUM(J14:J21)</f>
        <v>102.83150000000001</v>
      </c>
      <c r="K22" s="32">
        <f>SUM(K14:K21)</f>
        <v>0</v>
      </c>
      <c r="L22" s="32">
        <f>SUM(L14:L21)</f>
        <v>374.68872799999997</v>
      </c>
      <c r="M22" s="32">
        <f>SUM(M14:M21)</f>
        <v>475.54872799999998</v>
      </c>
    </row>
  </sheetData>
  <mergeCells count="5">
    <mergeCell ref="A1:M1"/>
    <mergeCell ref="A2:M2"/>
    <mergeCell ref="A4:F4"/>
    <mergeCell ref="H4:I4"/>
    <mergeCell ref="A12:M1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workbookViewId="0">
      <selection sqref="A1:I1"/>
    </sheetView>
  </sheetViews>
  <sheetFormatPr baseColWidth="10" defaultColWidth="8.83203125" defaultRowHeight="14"/>
  <cols>
    <col min="1" max="1" width="19" customWidth="1"/>
    <col min="2" max="2" width="29" customWidth="1"/>
    <col min="3" max="3" width="24" customWidth="1"/>
    <col min="4" max="4" width="15" customWidth="1"/>
    <col min="5" max="5" width="17" customWidth="1"/>
    <col min="6" max="6" width="16" customWidth="1"/>
    <col min="7" max="7" width="14" customWidth="1"/>
    <col min="8" max="8" width="16" customWidth="1"/>
    <col min="9" max="9" width="40" customWidth="1"/>
  </cols>
  <sheetData>
    <row r="1" spans="1:9" ht="45.25" customHeight="1">
      <c r="A1" s="58" t="s">
        <v>185</v>
      </c>
      <c r="B1" s="58" t="s">
        <v>185</v>
      </c>
      <c r="C1" s="58" t="s">
        <v>185</v>
      </c>
      <c r="D1" s="58" t="s">
        <v>185</v>
      </c>
      <c r="E1" s="58" t="s">
        <v>185</v>
      </c>
      <c r="F1" s="58" t="s">
        <v>185</v>
      </c>
      <c r="G1" s="58" t="s">
        <v>185</v>
      </c>
      <c r="H1" s="58" t="s">
        <v>185</v>
      </c>
      <c r="I1" s="58" t="s">
        <v>185</v>
      </c>
    </row>
    <row r="2" spans="1:9" ht="40" customHeight="1">
      <c r="A2" s="59" t="s">
        <v>186</v>
      </c>
      <c r="B2" s="59" t="s">
        <v>186</v>
      </c>
      <c r="C2" s="59" t="s">
        <v>186</v>
      </c>
      <c r="D2" s="59" t="s">
        <v>186</v>
      </c>
      <c r="E2" s="59" t="s">
        <v>186</v>
      </c>
      <c r="F2" s="59" t="s">
        <v>186</v>
      </c>
      <c r="G2" s="59" t="s">
        <v>186</v>
      </c>
      <c r="H2" s="59" t="s">
        <v>186</v>
      </c>
      <c r="I2" s="59" t="s">
        <v>186</v>
      </c>
    </row>
    <row r="3" spans="1:9" ht="15">
      <c r="A3" s="2"/>
      <c r="B3" s="2"/>
      <c r="C3" s="2"/>
      <c r="D3" s="2"/>
      <c r="E3" s="2"/>
      <c r="F3" s="2"/>
      <c r="G3" s="2"/>
      <c r="H3" s="2"/>
      <c r="I3" s="2"/>
    </row>
    <row r="4" spans="1:9" ht="29.25" customHeight="1">
      <c r="A4" s="64" t="s">
        <v>187</v>
      </c>
      <c r="B4" s="64" t="s">
        <v>187</v>
      </c>
      <c r="C4" s="64" t="s">
        <v>187</v>
      </c>
      <c r="D4" s="64" t="s">
        <v>187</v>
      </c>
      <c r="E4" s="2"/>
      <c r="F4" s="2"/>
      <c r="G4" s="2"/>
      <c r="H4" s="2"/>
      <c r="I4" s="2"/>
    </row>
    <row r="5" spans="1:9" ht="16">
      <c r="A5" s="15" t="s">
        <v>188</v>
      </c>
      <c r="B5" s="15" t="s">
        <v>189</v>
      </c>
      <c r="C5" s="15" t="s">
        <v>190</v>
      </c>
      <c r="D5" s="15" t="s">
        <v>9</v>
      </c>
      <c r="E5" s="2"/>
      <c r="F5" s="2"/>
      <c r="G5" s="2"/>
      <c r="H5" s="2"/>
      <c r="I5" s="2"/>
    </row>
    <row r="6" spans="1:9" ht="32">
      <c r="A6" s="2" t="s">
        <v>191</v>
      </c>
      <c r="B6" s="33">
        <v>8.9499999999999996E-2</v>
      </c>
      <c r="C6" s="2" t="s">
        <v>192</v>
      </c>
      <c r="D6" s="2" t="s">
        <v>193</v>
      </c>
      <c r="E6" s="2"/>
      <c r="F6" s="2"/>
      <c r="G6" s="2"/>
      <c r="H6" s="2"/>
      <c r="I6" s="2"/>
    </row>
    <row r="7" spans="1:9" ht="32">
      <c r="A7" s="2" t="s">
        <v>194</v>
      </c>
      <c r="B7" s="33">
        <v>9.4500000000000001E-3</v>
      </c>
      <c r="C7" s="2" t="s">
        <v>195</v>
      </c>
      <c r="D7" s="2" t="s">
        <v>193</v>
      </c>
      <c r="E7" s="2"/>
      <c r="F7" s="2"/>
      <c r="G7" s="2"/>
      <c r="H7" s="2"/>
      <c r="I7" s="2"/>
    </row>
    <row r="8" spans="1:9" ht="32">
      <c r="A8" s="2" t="s">
        <v>196</v>
      </c>
      <c r="B8" s="33">
        <v>8.9499999999999996E-2</v>
      </c>
      <c r="C8" s="2" t="s">
        <v>192</v>
      </c>
      <c r="D8" s="2" t="s">
        <v>193</v>
      </c>
      <c r="E8" s="2"/>
      <c r="F8" s="2"/>
      <c r="G8" s="2"/>
      <c r="H8" s="2"/>
      <c r="I8" s="2"/>
    </row>
    <row r="9" spans="1:9" ht="32">
      <c r="A9" s="2" t="s">
        <v>197</v>
      </c>
      <c r="B9" s="33">
        <v>9.4500000000000001E-3</v>
      </c>
      <c r="C9" s="2" t="s">
        <v>195</v>
      </c>
      <c r="D9" s="2" t="s">
        <v>193</v>
      </c>
      <c r="E9" s="2"/>
      <c r="F9" s="2"/>
      <c r="G9" s="2"/>
      <c r="H9" s="2"/>
      <c r="I9" s="2"/>
    </row>
    <row r="10" spans="1:9" ht="32">
      <c r="A10" s="2" t="s">
        <v>198</v>
      </c>
      <c r="B10" s="33">
        <v>1.33334E-5</v>
      </c>
      <c r="C10" s="2" t="s">
        <v>199</v>
      </c>
      <c r="D10" s="2" t="s">
        <v>200</v>
      </c>
      <c r="E10" s="2"/>
      <c r="F10" s="2"/>
      <c r="G10" s="2"/>
      <c r="H10" s="2"/>
      <c r="I10" s="2"/>
    </row>
    <row r="11" spans="1:9" ht="16">
      <c r="A11" s="2" t="s">
        <v>201</v>
      </c>
      <c r="B11" s="33">
        <v>0.2</v>
      </c>
      <c r="C11" s="2" t="s">
        <v>202</v>
      </c>
      <c r="D11" s="2" t="s">
        <v>203</v>
      </c>
      <c r="E11" s="2"/>
      <c r="F11" s="2"/>
      <c r="G11" s="2"/>
      <c r="H11" s="2"/>
      <c r="I11" s="2"/>
    </row>
    <row r="12" spans="1:9" ht="32">
      <c r="A12" s="2" t="s">
        <v>204</v>
      </c>
      <c r="B12" s="33">
        <v>7</v>
      </c>
      <c r="C12" s="2" t="s">
        <v>205</v>
      </c>
      <c r="D12" s="2" t="s">
        <v>206</v>
      </c>
      <c r="E12" s="2"/>
      <c r="F12" s="2"/>
      <c r="G12" s="2"/>
      <c r="H12" s="2"/>
      <c r="I12" s="2"/>
    </row>
    <row r="13" spans="1:9" ht="32">
      <c r="A13" s="2" t="s">
        <v>207</v>
      </c>
      <c r="B13" s="33">
        <v>5.0000000000000001E-3</v>
      </c>
      <c r="C13" s="2" t="s">
        <v>208</v>
      </c>
      <c r="D13" s="2" t="s">
        <v>206</v>
      </c>
      <c r="E13" s="2"/>
      <c r="F13" s="2"/>
      <c r="G13" s="2"/>
      <c r="H13" s="2"/>
      <c r="I13" s="2"/>
    </row>
    <row r="14" spans="1:9" ht="16">
      <c r="A14" s="2" t="s">
        <v>209</v>
      </c>
      <c r="B14" s="33">
        <v>2.3E-2</v>
      </c>
      <c r="C14" s="2" t="s">
        <v>150</v>
      </c>
      <c r="D14" s="2" t="s">
        <v>210</v>
      </c>
      <c r="E14" s="2"/>
      <c r="F14" s="2"/>
      <c r="G14" s="2"/>
      <c r="H14" s="2"/>
      <c r="I14" s="2"/>
    </row>
    <row r="15" spans="1:9" ht="32">
      <c r="A15" s="2" t="s">
        <v>211</v>
      </c>
      <c r="B15" s="33">
        <v>5.0000000000000001E-3</v>
      </c>
      <c r="C15" s="2" t="s">
        <v>212</v>
      </c>
      <c r="D15" s="2" t="s">
        <v>210</v>
      </c>
      <c r="E15" s="2"/>
      <c r="F15" s="2"/>
      <c r="G15" s="2"/>
      <c r="H15" s="2"/>
      <c r="I15" s="2"/>
    </row>
    <row r="16" spans="1:9" ht="16">
      <c r="A16" s="2" t="s">
        <v>213</v>
      </c>
      <c r="B16" s="33">
        <v>4.0000000000000002E-4</v>
      </c>
      <c r="C16" s="2" t="s">
        <v>212</v>
      </c>
      <c r="D16" s="2" t="s">
        <v>210</v>
      </c>
      <c r="E16" s="2"/>
      <c r="F16" s="2"/>
      <c r="G16" s="2"/>
      <c r="H16" s="2"/>
      <c r="I16" s="2"/>
    </row>
    <row r="17" spans="1:9" ht="32">
      <c r="A17" s="2" t="s">
        <v>214</v>
      </c>
      <c r="B17" s="33">
        <v>0.625</v>
      </c>
      <c r="C17" s="2" t="s">
        <v>215</v>
      </c>
      <c r="D17" s="2" t="s">
        <v>216</v>
      </c>
      <c r="E17" s="2"/>
      <c r="F17" s="2"/>
      <c r="G17" s="2"/>
      <c r="H17" s="2"/>
      <c r="I17" s="2"/>
    </row>
    <row r="18" spans="1:9" ht="32">
      <c r="A18" s="2" t="s">
        <v>217</v>
      </c>
      <c r="B18" s="33">
        <v>0.125</v>
      </c>
      <c r="C18" s="2" t="s">
        <v>218</v>
      </c>
      <c r="D18" s="2" t="s">
        <v>216</v>
      </c>
      <c r="E18" s="2"/>
      <c r="F18" s="2"/>
      <c r="G18" s="2"/>
      <c r="H18" s="2"/>
      <c r="I18" s="2"/>
    </row>
    <row r="19" spans="1:9" ht="16">
      <c r="A19" s="2" t="s">
        <v>219</v>
      </c>
      <c r="B19" s="33">
        <v>0.25</v>
      </c>
      <c r="C19" s="2" t="s">
        <v>150</v>
      </c>
      <c r="D19" s="2" t="s">
        <v>216</v>
      </c>
      <c r="E19" s="2"/>
      <c r="F19" s="2"/>
      <c r="G19" s="2"/>
      <c r="H19" s="2"/>
      <c r="I19" s="2"/>
    </row>
    <row r="20" spans="1:9" ht="32">
      <c r="A20" s="2" t="s">
        <v>220</v>
      </c>
      <c r="B20" s="33">
        <v>0.2</v>
      </c>
      <c r="C20" s="2" t="s">
        <v>150</v>
      </c>
      <c r="D20" s="2" t="s">
        <v>221</v>
      </c>
      <c r="E20" s="2"/>
      <c r="F20" s="2"/>
      <c r="G20" s="2"/>
      <c r="H20" s="2"/>
      <c r="I20" s="2"/>
    </row>
    <row r="21" spans="1:9" ht="32">
      <c r="A21" s="2" t="s">
        <v>222</v>
      </c>
      <c r="B21" s="33">
        <v>0.1</v>
      </c>
      <c r="C21" s="2" t="s">
        <v>150</v>
      </c>
      <c r="D21" s="2" t="s">
        <v>223</v>
      </c>
      <c r="E21" s="2"/>
      <c r="F21" s="2"/>
      <c r="G21" s="2"/>
      <c r="H21" s="2"/>
      <c r="I21" s="2"/>
    </row>
    <row r="22" spans="1:9" ht="48">
      <c r="A22" s="2" t="s">
        <v>224</v>
      </c>
      <c r="B22" s="33">
        <v>0.4</v>
      </c>
      <c r="C22" s="2" t="s">
        <v>225</v>
      </c>
      <c r="D22" s="2" t="s">
        <v>226</v>
      </c>
      <c r="E22" s="2"/>
      <c r="F22" s="2"/>
      <c r="G22" s="2"/>
      <c r="H22" s="2"/>
      <c r="I22" s="2"/>
    </row>
    <row r="23" spans="1:9" ht="32">
      <c r="A23" s="2" t="s">
        <v>227</v>
      </c>
      <c r="B23" s="33">
        <v>0.5</v>
      </c>
      <c r="C23" s="2" t="s">
        <v>70</v>
      </c>
      <c r="D23" s="2" t="s">
        <v>228</v>
      </c>
      <c r="E23" s="2"/>
      <c r="F23" s="2"/>
      <c r="G23" s="2"/>
      <c r="H23" s="2"/>
      <c r="I23" s="2"/>
    </row>
    <row r="24" spans="1:9" ht="48">
      <c r="A24" s="2" t="s">
        <v>229</v>
      </c>
      <c r="B24" s="33">
        <v>0.03</v>
      </c>
      <c r="C24" s="2" t="s">
        <v>150</v>
      </c>
      <c r="D24" s="2" t="s">
        <v>230</v>
      </c>
      <c r="E24" s="2"/>
      <c r="F24" s="2"/>
      <c r="G24" s="2"/>
      <c r="H24" s="2"/>
      <c r="I24" s="2"/>
    </row>
    <row r="25" spans="1:9" ht="48">
      <c r="A25" s="2" t="s">
        <v>231</v>
      </c>
      <c r="B25" s="33">
        <v>0.03</v>
      </c>
      <c r="C25" s="2" t="s">
        <v>232</v>
      </c>
      <c r="D25" s="2" t="s">
        <v>233</v>
      </c>
      <c r="E25" s="2"/>
      <c r="F25" s="2"/>
      <c r="G25" s="2"/>
      <c r="H25" s="2"/>
      <c r="I25" s="2"/>
    </row>
    <row r="26" spans="1:9" ht="48">
      <c r="A26" s="2" t="s">
        <v>234</v>
      </c>
      <c r="B26" s="33">
        <v>0.09</v>
      </c>
      <c r="C26" s="2" t="s">
        <v>70</v>
      </c>
      <c r="D26" s="2" t="s">
        <v>235</v>
      </c>
      <c r="E26" s="2"/>
      <c r="F26" s="2"/>
      <c r="G26" s="2"/>
      <c r="H26" s="2"/>
      <c r="I26" s="2"/>
    </row>
    <row r="27" spans="1:9" ht="15">
      <c r="A27" s="2"/>
      <c r="B27" s="2"/>
      <c r="C27" s="2"/>
      <c r="D27" s="2"/>
      <c r="E27" s="2"/>
      <c r="F27" s="2"/>
      <c r="G27" s="2"/>
      <c r="H27" s="2"/>
      <c r="I27" s="2"/>
    </row>
    <row r="28" spans="1:9" ht="29.25" customHeight="1">
      <c r="A28" s="64" t="s">
        <v>236</v>
      </c>
      <c r="B28" s="64" t="s">
        <v>236</v>
      </c>
      <c r="C28" s="64" t="s">
        <v>236</v>
      </c>
      <c r="D28" s="64" t="s">
        <v>236</v>
      </c>
      <c r="E28" s="64" t="s">
        <v>236</v>
      </c>
      <c r="F28" s="64" t="s">
        <v>236</v>
      </c>
      <c r="G28" s="64" t="s">
        <v>236</v>
      </c>
      <c r="H28" s="64" t="s">
        <v>236</v>
      </c>
      <c r="I28" s="64" t="s">
        <v>236</v>
      </c>
    </row>
    <row r="29" spans="1:9" ht="16">
      <c r="A29" s="1" t="s">
        <v>16</v>
      </c>
      <c r="B29" s="1" t="s">
        <v>188</v>
      </c>
      <c r="C29" s="1" t="s">
        <v>237</v>
      </c>
      <c r="D29" s="1" t="s">
        <v>238</v>
      </c>
      <c r="E29" s="1" t="s">
        <v>239</v>
      </c>
      <c r="F29" s="1" t="s">
        <v>240</v>
      </c>
      <c r="G29" s="1" t="s">
        <v>189</v>
      </c>
      <c r="H29" s="1" t="s">
        <v>241</v>
      </c>
      <c r="I29" s="1" t="s">
        <v>242</v>
      </c>
    </row>
    <row r="30" spans="1:9" ht="16">
      <c r="A30" s="3" t="s">
        <v>22</v>
      </c>
      <c r="B30" s="3" t="s">
        <v>191</v>
      </c>
      <c r="C30" s="3" t="s">
        <v>243</v>
      </c>
      <c r="D30" s="34">
        <f>Assumptions!$B$10</f>
        <v>240</v>
      </c>
      <c r="E30" s="34">
        <f>Assumptions!$B$34/3600</f>
        <v>0.05</v>
      </c>
      <c r="F30" s="34">
        <f t="shared" ref="F30:F49" si="0">D30*E30</f>
        <v>12</v>
      </c>
      <c r="G30" s="35">
        <f>$B$6</f>
        <v>8.9499999999999996E-2</v>
      </c>
      <c r="H30" s="29">
        <f t="shared" ref="H30:H56" si="1">F30*G30</f>
        <v>1.0739999999999998</v>
      </c>
      <c r="I30" s="3" t="s">
        <v>244</v>
      </c>
    </row>
    <row r="31" spans="1:9" ht="16">
      <c r="A31" s="3" t="s">
        <v>22</v>
      </c>
      <c r="B31" s="3" t="s">
        <v>194</v>
      </c>
      <c r="C31" s="3" t="s">
        <v>243</v>
      </c>
      <c r="D31" s="34">
        <f>Assumptions!$B$10</f>
        <v>240</v>
      </c>
      <c r="E31" s="34">
        <f>Assumptions!$B$35*Assumptions!$B$36/3600</f>
        <v>0.2</v>
      </c>
      <c r="F31" s="34">
        <f t="shared" si="0"/>
        <v>48</v>
      </c>
      <c r="G31" s="35">
        <f>$B$7</f>
        <v>9.4500000000000001E-3</v>
      </c>
      <c r="H31" s="29">
        <f t="shared" si="1"/>
        <v>0.4536</v>
      </c>
      <c r="I31" s="3" t="s">
        <v>245</v>
      </c>
    </row>
    <row r="32" spans="1:9" ht="16">
      <c r="A32" s="3" t="s">
        <v>22</v>
      </c>
      <c r="B32" s="3" t="s">
        <v>196</v>
      </c>
      <c r="C32" s="3" t="s">
        <v>243</v>
      </c>
      <c r="D32" s="34">
        <f>Assumptions!$B$10</f>
        <v>240</v>
      </c>
      <c r="E32" s="34">
        <f>Assumptions!$B$37*Assumptions!$B$38*Assumptions!$B$39/3600</f>
        <v>0.01</v>
      </c>
      <c r="F32" s="34">
        <f t="shared" si="0"/>
        <v>2.4</v>
      </c>
      <c r="G32" s="35">
        <f>$B$8</f>
        <v>8.9499999999999996E-2</v>
      </c>
      <c r="H32" s="29">
        <f t="shared" si="1"/>
        <v>0.21479999999999999</v>
      </c>
      <c r="I32" s="3" t="s">
        <v>246</v>
      </c>
    </row>
    <row r="33" spans="1:9" ht="16">
      <c r="A33" s="3" t="s">
        <v>22</v>
      </c>
      <c r="B33" s="3" t="s">
        <v>197</v>
      </c>
      <c r="C33" s="3" t="s">
        <v>243</v>
      </c>
      <c r="D33" s="34">
        <f>Assumptions!$B$10</f>
        <v>240</v>
      </c>
      <c r="E33" s="34">
        <f>Assumptions!$B$37*Assumptions!$B$40*Assumptions!$B$41/3600</f>
        <v>0.08</v>
      </c>
      <c r="F33" s="34">
        <f t="shared" si="0"/>
        <v>19.2</v>
      </c>
      <c r="G33" s="35">
        <f>$B$9</f>
        <v>9.4500000000000001E-3</v>
      </c>
      <c r="H33" s="29">
        <f t="shared" si="1"/>
        <v>0.18143999999999999</v>
      </c>
      <c r="I33" s="3" t="s">
        <v>247</v>
      </c>
    </row>
    <row r="34" spans="1:9" ht="16">
      <c r="A34" s="3" t="s">
        <v>23</v>
      </c>
      <c r="B34" s="3" t="s">
        <v>191</v>
      </c>
      <c r="C34" s="3" t="s">
        <v>243</v>
      </c>
      <c r="D34" s="34">
        <f>Assumptions!$B$10</f>
        <v>240</v>
      </c>
      <c r="E34" s="34">
        <f>Assumptions!$B$42/3600</f>
        <v>8.3333333333333329E-2</v>
      </c>
      <c r="F34" s="34">
        <f t="shared" si="0"/>
        <v>20</v>
      </c>
      <c r="G34" s="35">
        <f>$B$6</f>
        <v>8.9499999999999996E-2</v>
      </c>
      <c r="H34" s="29">
        <f t="shared" si="1"/>
        <v>1.79</v>
      </c>
      <c r="I34" s="3" t="s">
        <v>244</v>
      </c>
    </row>
    <row r="35" spans="1:9" ht="16">
      <c r="A35" s="3" t="s">
        <v>23</v>
      </c>
      <c r="B35" s="3" t="s">
        <v>194</v>
      </c>
      <c r="C35" s="3" t="s">
        <v>243</v>
      </c>
      <c r="D35" s="34">
        <f>Assumptions!$B$10</f>
        <v>240</v>
      </c>
      <c r="E35" s="34">
        <f>Assumptions!$B$43*Assumptions!$B$44/3600</f>
        <v>0.33333333333333331</v>
      </c>
      <c r="F35" s="34">
        <f t="shared" si="0"/>
        <v>80</v>
      </c>
      <c r="G35" s="35">
        <f>$B$7</f>
        <v>9.4500000000000001E-3</v>
      </c>
      <c r="H35" s="29">
        <f t="shared" si="1"/>
        <v>0.75600000000000001</v>
      </c>
      <c r="I35" s="3" t="s">
        <v>248</v>
      </c>
    </row>
    <row r="36" spans="1:9" ht="16">
      <c r="A36" s="3" t="s">
        <v>24</v>
      </c>
      <c r="B36" s="3" t="s">
        <v>191</v>
      </c>
      <c r="C36" s="3" t="s">
        <v>249</v>
      </c>
      <c r="D36" s="34">
        <f>Assumptions!$B$12</f>
        <v>1000</v>
      </c>
      <c r="E36" s="34">
        <f>Assumptions!$B$45/3600</f>
        <v>8.3333333333333332E-3</v>
      </c>
      <c r="F36" s="34">
        <f t="shared" si="0"/>
        <v>8.3333333333333339</v>
      </c>
      <c r="G36" s="35">
        <f>$B$6</f>
        <v>8.9499999999999996E-2</v>
      </c>
      <c r="H36" s="29">
        <f t="shared" si="1"/>
        <v>0.74583333333333335</v>
      </c>
      <c r="I36" s="3" t="s">
        <v>244</v>
      </c>
    </row>
    <row r="37" spans="1:9" ht="16">
      <c r="A37" s="3" t="s">
        <v>24</v>
      </c>
      <c r="B37" s="3" t="s">
        <v>194</v>
      </c>
      <c r="C37" s="3" t="s">
        <v>249</v>
      </c>
      <c r="D37" s="34">
        <f>Assumptions!$B$12</f>
        <v>1000</v>
      </c>
      <c r="E37" s="34">
        <f>Assumptions!$B$46*Assumptions!$B$47/3600</f>
        <v>3.3333333333333333E-2</v>
      </c>
      <c r="F37" s="34">
        <f t="shared" si="0"/>
        <v>33.333333333333336</v>
      </c>
      <c r="G37" s="35">
        <f>$B$7</f>
        <v>9.4500000000000001E-3</v>
      </c>
      <c r="H37" s="29">
        <f t="shared" si="1"/>
        <v>0.315</v>
      </c>
      <c r="I37" s="3" t="s">
        <v>250</v>
      </c>
    </row>
    <row r="38" spans="1:9" ht="16">
      <c r="A38" s="3" t="s">
        <v>22</v>
      </c>
      <c r="B38" s="3" t="s">
        <v>251</v>
      </c>
      <c r="C38" s="3" t="s">
        <v>252</v>
      </c>
      <c r="D38" s="34">
        <f>'Model Cost'!$D$16+'Model Cost'!$D$17</f>
        <v>1460</v>
      </c>
      <c r="E38" s="34">
        <f>Assumptions!$B$48*Assumptions!$B$49</f>
        <v>2.5</v>
      </c>
      <c r="F38" s="34">
        <f t="shared" si="0"/>
        <v>3650</v>
      </c>
      <c r="G38" s="35">
        <f>$B$10</f>
        <v>1.33334E-5</v>
      </c>
      <c r="H38" s="29">
        <f t="shared" si="1"/>
        <v>4.8666910000000001E-2</v>
      </c>
      <c r="I38" s="3" t="s">
        <v>253</v>
      </c>
    </row>
    <row r="39" spans="1:9" ht="16">
      <c r="A39" s="3" t="s">
        <v>22</v>
      </c>
      <c r="B39" s="3" t="s">
        <v>254</v>
      </c>
      <c r="C39" s="3" t="s">
        <v>252</v>
      </c>
      <c r="D39" s="34">
        <f>'Model Cost'!$D$16+'Model Cost'!$D$17</f>
        <v>1460</v>
      </c>
      <c r="E39" s="34">
        <f>1/1000000</f>
        <v>9.9999999999999995E-7</v>
      </c>
      <c r="F39" s="34">
        <f t="shared" si="0"/>
        <v>1.4599999999999999E-3</v>
      </c>
      <c r="G39" s="35">
        <f>$B$11</f>
        <v>0.2</v>
      </c>
      <c r="H39" s="29">
        <f t="shared" si="1"/>
        <v>2.92E-4</v>
      </c>
      <c r="I39" s="3" t="s">
        <v>255</v>
      </c>
    </row>
    <row r="40" spans="1:9" ht="16">
      <c r="A40" s="3" t="s">
        <v>22</v>
      </c>
      <c r="B40" s="3" t="s">
        <v>256</v>
      </c>
      <c r="C40" s="3" t="s">
        <v>252</v>
      </c>
      <c r="D40" s="34">
        <f>'Model Cost'!$D$16+'Model Cost'!$D$17</f>
        <v>1460</v>
      </c>
      <c r="E40" s="34">
        <f>Assumptions!$B$50/1000</f>
        <v>5.0000000000000002E-5</v>
      </c>
      <c r="F40" s="34">
        <f t="shared" si="0"/>
        <v>7.3000000000000009E-2</v>
      </c>
      <c r="G40" s="35">
        <f>$B$12</f>
        <v>7</v>
      </c>
      <c r="H40" s="29">
        <f t="shared" si="1"/>
        <v>0.51100000000000012</v>
      </c>
      <c r="I40" s="3" t="s">
        <v>257</v>
      </c>
    </row>
    <row r="41" spans="1:9" ht="16">
      <c r="A41" s="3" t="s">
        <v>22</v>
      </c>
      <c r="B41" s="3" t="s">
        <v>258</v>
      </c>
      <c r="C41" s="3" t="s">
        <v>252</v>
      </c>
      <c r="D41" s="34">
        <f>'Model Cost'!$D$16+'Model Cost'!$D$17</f>
        <v>1460</v>
      </c>
      <c r="E41" s="34">
        <f>Assumptions!$B$50/1000</f>
        <v>5.0000000000000002E-5</v>
      </c>
      <c r="F41" s="34">
        <f t="shared" si="0"/>
        <v>7.3000000000000009E-2</v>
      </c>
      <c r="G41" s="35">
        <f>$B$13</f>
        <v>5.0000000000000001E-3</v>
      </c>
      <c r="H41" s="29">
        <f t="shared" si="1"/>
        <v>3.6500000000000004E-4</v>
      </c>
      <c r="I41" s="3" t="s">
        <v>257</v>
      </c>
    </row>
    <row r="42" spans="1:9" ht="16">
      <c r="A42" s="3" t="s">
        <v>25</v>
      </c>
      <c r="B42" s="3" t="s">
        <v>209</v>
      </c>
      <c r="C42" s="3" t="s">
        <v>259</v>
      </c>
      <c r="D42" s="34">
        <v>1</v>
      </c>
      <c r="E42" s="34">
        <f>(Assumptions!$B$15+Assumptions!$B$10*Assumptions!$B$14/1024/2)*Assumptions!$B$16</f>
        <v>56.289062500000007</v>
      </c>
      <c r="F42" s="34">
        <f t="shared" si="0"/>
        <v>56.289062500000007</v>
      </c>
      <c r="G42" s="35">
        <f>$B$14</f>
        <v>2.3E-2</v>
      </c>
      <c r="H42" s="29">
        <f t="shared" si="1"/>
        <v>1.2946484375000002</v>
      </c>
      <c r="I42" s="3" t="s">
        <v>260</v>
      </c>
    </row>
    <row r="43" spans="1:9" ht="16">
      <c r="A43" s="3" t="s">
        <v>25</v>
      </c>
      <c r="B43" s="3" t="s">
        <v>261</v>
      </c>
      <c r="C43" s="3" t="s">
        <v>243</v>
      </c>
      <c r="D43" s="34">
        <f>Assumptions!$B$10</f>
        <v>240</v>
      </c>
      <c r="E43" s="34">
        <f>2/1000</f>
        <v>2E-3</v>
      </c>
      <c r="F43" s="34">
        <f t="shared" si="0"/>
        <v>0.48</v>
      </c>
      <c r="G43" s="35">
        <f>$B$15</f>
        <v>5.0000000000000001E-3</v>
      </c>
      <c r="H43" s="29">
        <f t="shared" si="1"/>
        <v>2.3999999999999998E-3</v>
      </c>
      <c r="I43" s="3" t="s">
        <v>262</v>
      </c>
    </row>
    <row r="44" spans="1:9" ht="16">
      <c r="A44" s="3" t="s">
        <v>25</v>
      </c>
      <c r="B44" s="3" t="s">
        <v>263</v>
      </c>
      <c r="C44" s="3" t="s">
        <v>264</v>
      </c>
      <c r="D44" s="34">
        <v>1</v>
      </c>
      <c r="E44" s="34">
        <f>(Assumptions!$B$10*6+Assumptions!$B$12*0.2)/1000</f>
        <v>1.64</v>
      </c>
      <c r="F44" s="34">
        <f t="shared" si="0"/>
        <v>1.64</v>
      </c>
      <c r="G44" s="35">
        <f>$B$16</f>
        <v>4.0000000000000002E-4</v>
      </c>
      <c r="H44" s="29">
        <f t="shared" si="1"/>
        <v>6.5600000000000001E-4</v>
      </c>
      <c r="I44" s="3" t="s">
        <v>265</v>
      </c>
    </row>
    <row r="45" spans="1:9" ht="16">
      <c r="A45" s="3" t="s">
        <v>22</v>
      </c>
      <c r="B45" s="3" t="s">
        <v>266</v>
      </c>
      <c r="C45" s="3" t="s">
        <v>243</v>
      </c>
      <c r="D45" s="34">
        <f>Assumptions!$B$10</f>
        <v>240</v>
      </c>
      <c r="E45" s="34">
        <f>1/1000000</f>
        <v>9.9999999999999995E-7</v>
      </c>
      <c r="F45" s="34">
        <f t="shared" si="0"/>
        <v>2.3999999999999998E-4</v>
      </c>
      <c r="G45" s="35">
        <f>$B$17</f>
        <v>0.625</v>
      </c>
      <c r="H45" s="29">
        <f t="shared" si="1"/>
        <v>1.4999999999999999E-4</v>
      </c>
      <c r="I45" s="3" t="s">
        <v>267</v>
      </c>
    </row>
    <row r="46" spans="1:9" ht="16">
      <c r="A46" s="3" t="s">
        <v>22</v>
      </c>
      <c r="B46" s="3" t="s">
        <v>268</v>
      </c>
      <c r="C46" s="3" t="s">
        <v>243</v>
      </c>
      <c r="D46" s="34">
        <f>Assumptions!$B$10</f>
        <v>240</v>
      </c>
      <c r="E46" s="34">
        <f>2/1000000</f>
        <v>1.9999999999999999E-6</v>
      </c>
      <c r="F46" s="34">
        <f t="shared" si="0"/>
        <v>4.7999999999999996E-4</v>
      </c>
      <c r="G46" s="35">
        <f>$B$18</f>
        <v>0.125</v>
      </c>
      <c r="H46" s="29">
        <f t="shared" si="1"/>
        <v>5.9999999999999995E-5</v>
      </c>
      <c r="I46" s="3" t="s">
        <v>269</v>
      </c>
    </row>
    <row r="47" spans="1:9" ht="16">
      <c r="A47" s="3" t="s">
        <v>22</v>
      </c>
      <c r="B47" s="3" t="s">
        <v>219</v>
      </c>
      <c r="C47" s="3" t="s">
        <v>270</v>
      </c>
      <c r="D47" s="34">
        <v>1</v>
      </c>
      <c r="E47" s="34">
        <f>Assumptions!$B$18</f>
        <v>0.1</v>
      </c>
      <c r="F47" s="34">
        <f t="shared" si="0"/>
        <v>0.1</v>
      </c>
      <c r="G47" s="35">
        <f>$B$19</f>
        <v>0.25</v>
      </c>
      <c r="H47" s="29">
        <f t="shared" si="1"/>
        <v>2.5000000000000001E-2</v>
      </c>
      <c r="I47" s="3" t="s">
        <v>216</v>
      </c>
    </row>
    <row r="48" spans="1:9" ht="16">
      <c r="A48" s="3" t="s">
        <v>22</v>
      </c>
      <c r="B48" s="3" t="s">
        <v>220</v>
      </c>
      <c r="C48" s="3" t="s">
        <v>270</v>
      </c>
      <c r="D48" s="34">
        <v>1</v>
      </c>
      <c r="E48" s="34">
        <f>Assumptions!$B$18</f>
        <v>0.1</v>
      </c>
      <c r="F48" s="34">
        <f t="shared" si="0"/>
        <v>0.1</v>
      </c>
      <c r="G48" s="35">
        <f>$B$20</f>
        <v>0.2</v>
      </c>
      <c r="H48" s="29">
        <f t="shared" si="1"/>
        <v>2.0000000000000004E-2</v>
      </c>
      <c r="I48" s="3" t="s">
        <v>271</v>
      </c>
    </row>
    <row r="49" spans="1:9" ht="16">
      <c r="A49" s="3" t="s">
        <v>25</v>
      </c>
      <c r="B49" s="3" t="s">
        <v>222</v>
      </c>
      <c r="C49" s="3" t="s">
        <v>272</v>
      </c>
      <c r="D49" s="34">
        <v>1</v>
      </c>
      <c r="E49" s="34">
        <f>Assumptions!$B$17</f>
        <v>3</v>
      </c>
      <c r="F49" s="34">
        <f t="shared" si="0"/>
        <v>3</v>
      </c>
      <c r="G49" s="35">
        <f>$B$21</f>
        <v>0.1</v>
      </c>
      <c r="H49" s="29">
        <f t="shared" si="1"/>
        <v>0.30000000000000004</v>
      </c>
      <c r="I49" s="3" t="s">
        <v>273</v>
      </c>
    </row>
    <row r="50" spans="1:9" ht="16">
      <c r="A50" s="3" t="s">
        <v>22</v>
      </c>
      <c r="B50" s="3" t="s">
        <v>224</v>
      </c>
      <c r="C50" s="3" t="s">
        <v>274</v>
      </c>
      <c r="D50" s="34">
        <v>1</v>
      </c>
      <c r="E50" s="34">
        <v>1</v>
      </c>
      <c r="F50" s="34">
        <v>1</v>
      </c>
      <c r="G50" s="35">
        <f>$B$22</f>
        <v>0.4</v>
      </c>
      <c r="H50" s="29">
        <f t="shared" si="1"/>
        <v>0.4</v>
      </c>
      <c r="I50" s="3" t="s">
        <v>275</v>
      </c>
    </row>
    <row r="51" spans="1:9" ht="16">
      <c r="A51" s="3" t="s">
        <v>22</v>
      </c>
      <c r="B51" s="3" t="s">
        <v>227</v>
      </c>
      <c r="C51" s="3" t="s">
        <v>276</v>
      </c>
      <c r="D51" s="34">
        <v>1</v>
      </c>
      <c r="E51" s="34">
        <f>(Assumptions!$B$10*Assumptions!$B$51+('Model Cost'!$D$16+'Model Cost'!$D$17)*Assumptions!$B$54)/1024</f>
        <v>1.314453125</v>
      </c>
      <c r="F51" s="34">
        <f t="shared" ref="F51:F56" si="2">D51*E51</f>
        <v>1.314453125</v>
      </c>
      <c r="G51" s="35">
        <f>$B$23</f>
        <v>0.5</v>
      </c>
      <c r="H51" s="29">
        <f t="shared" si="1"/>
        <v>0.6572265625</v>
      </c>
      <c r="I51" s="3" t="s">
        <v>277</v>
      </c>
    </row>
    <row r="52" spans="1:9" ht="16">
      <c r="A52" s="3" t="s">
        <v>23</v>
      </c>
      <c r="B52" s="3" t="s">
        <v>227</v>
      </c>
      <c r="C52" s="3" t="s">
        <v>243</v>
      </c>
      <c r="D52" s="34">
        <f>Assumptions!$B$10</f>
        <v>240</v>
      </c>
      <c r="E52" s="34">
        <f>Assumptions!$B$52/1024</f>
        <v>2.9296875E-3</v>
      </c>
      <c r="F52" s="34">
        <f t="shared" si="2"/>
        <v>0.703125</v>
      </c>
      <c r="G52" s="35">
        <f>$B$23</f>
        <v>0.5</v>
      </c>
      <c r="H52" s="29">
        <f t="shared" si="1"/>
        <v>0.3515625</v>
      </c>
      <c r="I52" s="3" t="s">
        <v>278</v>
      </c>
    </row>
    <row r="53" spans="1:9" ht="16">
      <c r="A53" s="3" t="s">
        <v>24</v>
      </c>
      <c r="B53" s="3" t="s">
        <v>227</v>
      </c>
      <c r="C53" s="3" t="s">
        <v>249</v>
      </c>
      <c r="D53" s="34">
        <f>Assumptions!$B$12</f>
        <v>1000</v>
      </c>
      <c r="E53" s="34">
        <f>Assumptions!$B$53/1024</f>
        <v>4.8828125E-4</v>
      </c>
      <c r="F53" s="34">
        <f t="shared" si="2"/>
        <v>0.48828125</v>
      </c>
      <c r="G53" s="35">
        <f>$B$23</f>
        <v>0.5</v>
      </c>
      <c r="H53" s="29">
        <f t="shared" si="1"/>
        <v>0.244140625</v>
      </c>
      <c r="I53" s="3" t="s">
        <v>279</v>
      </c>
    </row>
    <row r="54" spans="1:9" ht="16">
      <c r="A54" s="3" t="s">
        <v>25</v>
      </c>
      <c r="B54" s="3" t="s">
        <v>229</v>
      </c>
      <c r="C54" s="3" t="s">
        <v>280</v>
      </c>
      <c r="D54" s="34">
        <v>1</v>
      </c>
      <c r="E54" s="34">
        <f>Assumptions!$B$55</f>
        <v>6</v>
      </c>
      <c r="F54" s="34">
        <f t="shared" si="2"/>
        <v>6</v>
      </c>
      <c r="G54" s="35">
        <f>$B$24</f>
        <v>0.03</v>
      </c>
      <c r="H54" s="29">
        <f t="shared" si="1"/>
        <v>0.18</v>
      </c>
      <c r="I54" s="3" t="s">
        <v>281</v>
      </c>
    </row>
    <row r="55" spans="1:9" ht="16">
      <c r="A55" s="3" t="s">
        <v>22</v>
      </c>
      <c r="B55" s="3" t="s">
        <v>231</v>
      </c>
      <c r="C55" s="3" t="s">
        <v>243</v>
      </c>
      <c r="D55" s="34">
        <f>Assumptions!$B$10</f>
        <v>240</v>
      </c>
      <c r="E55" s="34">
        <f>7/10000</f>
        <v>6.9999999999999999E-4</v>
      </c>
      <c r="F55" s="34">
        <f t="shared" si="2"/>
        <v>0.16800000000000001</v>
      </c>
      <c r="G55" s="35">
        <f>$B$25</f>
        <v>0.03</v>
      </c>
      <c r="H55" s="29">
        <f t="shared" si="1"/>
        <v>5.0400000000000002E-3</v>
      </c>
      <c r="I55" s="3" t="s">
        <v>282</v>
      </c>
    </row>
    <row r="56" spans="1:9" ht="16">
      <c r="A56" s="3" t="s">
        <v>22</v>
      </c>
      <c r="B56" s="3" t="s">
        <v>283</v>
      </c>
      <c r="C56" s="3" t="s">
        <v>284</v>
      </c>
      <c r="D56" s="34">
        <v>1</v>
      </c>
      <c r="E56" s="34">
        <f>Assumptions!$B$56</f>
        <v>0.1</v>
      </c>
      <c r="F56" s="34">
        <f t="shared" si="2"/>
        <v>0.1</v>
      </c>
      <c r="G56" s="35">
        <f>$B$26</f>
        <v>0.09</v>
      </c>
      <c r="H56" s="29">
        <f t="shared" si="1"/>
        <v>8.9999999999999993E-3</v>
      </c>
      <c r="I56" s="3" t="s">
        <v>285</v>
      </c>
    </row>
    <row r="57" spans="1:9" ht="16">
      <c r="A57" s="30" t="s">
        <v>184</v>
      </c>
      <c r="B57" s="30"/>
      <c r="C57" s="30"/>
      <c r="D57" s="30"/>
      <c r="E57" s="30"/>
      <c r="F57" s="30"/>
      <c r="G57" s="30"/>
      <c r="H57" s="32">
        <f>SUM(H30:H56)</f>
        <v>9.5808813683333334</v>
      </c>
      <c r="I57" s="30"/>
    </row>
  </sheetData>
  <mergeCells count="4">
    <mergeCell ref="A1:I1"/>
    <mergeCell ref="A2:I2"/>
    <mergeCell ref="A4:D4"/>
    <mergeCell ref="A28:I2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workbookViewId="0">
      <selection sqref="A1:J1"/>
    </sheetView>
  </sheetViews>
  <sheetFormatPr baseColWidth="10" defaultColWidth="8.83203125" defaultRowHeight="14"/>
  <cols>
    <col min="1" max="1" width="14" customWidth="1"/>
    <col min="2" max="3" width="17" customWidth="1"/>
    <col min="4" max="4" width="18" customWidth="1"/>
    <col min="5" max="6" width="17" customWidth="1"/>
    <col min="7" max="7" width="18" customWidth="1"/>
    <col min="8" max="10" width="16" customWidth="1"/>
  </cols>
  <sheetData>
    <row r="1" spans="1:10" ht="34" customHeight="1">
      <c r="A1" s="58" t="s">
        <v>286</v>
      </c>
      <c r="B1" s="58" t="s">
        <v>286</v>
      </c>
      <c r="C1" s="58" t="s">
        <v>286</v>
      </c>
      <c r="D1" s="58" t="s">
        <v>286</v>
      </c>
      <c r="E1" s="58" t="s">
        <v>286</v>
      </c>
      <c r="F1" s="58" t="s">
        <v>286</v>
      </c>
      <c r="G1" s="58" t="s">
        <v>286</v>
      </c>
      <c r="H1" s="58" t="s">
        <v>286</v>
      </c>
      <c r="I1" s="58" t="s">
        <v>286</v>
      </c>
      <c r="J1" s="58" t="s">
        <v>286</v>
      </c>
    </row>
    <row r="2" spans="1:10" ht="30" customHeight="1">
      <c r="A2" s="59" t="s">
        <v>287</v>
      </c>
      <c r="B2" s="59" t="s">
        <v>287</v>
      </c>
      <c r="C2" s="59" t="s">
        <v>287</v>
      </c>
      <c r="D2" s="59" t="s">
        <v>287</v>
      </c>
      <c r="E2" s="59" t="s">
        <v>287</v>
      </c>
      <c r="F2" s="59" t="s">
        <v>287</v>
      </c>
      <c r="G2" s="59" t="s">
        <v>287</v>
      </c>
      <c r="H2" s="59" t="s">
        <v>287</v>
      </c>
      <c r="I2" s="59" t="s">
        <v>287</v>
      </c>
      <c r="J2" s="59" t="s">
        <v>287</v>
      </c>
    </row>
    <row r="3" spans="1:10" ht="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2" customHeight="1">
      <c r="A4" s="64" t="s">
        <v>288</v>
      </c>
      <c r="B4" s="64" t="s">
        <v>288</v>
      </c>
      <c r="C4" s="64" t="s">
        <v>288</v>
      </c>
      <c r="D4" s="64" t="s">
        <v>288</v>
      </c>
      <c r="E4" s="64" t="s">
        <v>288</v>
      </c>
      <c r="F4" s="64" t="s">
        <v>288</v>
      </c>
      <c r="G4" s="64" t="s">
        <v>288</v>
      </c>
      <c r="H4" s="64" t="s">
        <v>288</v>
      </c>
      <c r="I4" s="64" t="s">
        <v>288</v>
      </c>
      <c r="J4" s="64" t="s">
        <v>288</v>
      </c>
    </row>
    <row r="5" spans="1:10" ht="32">
      <c r="A5" s="1" t="s">
        <v>289</v>
      </c>
      <c r="B5" s="1" t="s">
        <v>290</v>
      </c>
      <c r="C5" s="1" t="s">
        <v>291</v>
      </c>
      <c r="D5" s="1" t="s">
        <v>292</v>
      </c>
      <c r="E5" s="1" t="s">
        <v>293</v>
      </c>
      <c r="F5" s="1" t="s">
        <v>294</v>
      </c>
      <c r="G5" s="1" t="s">
        <v>295</v>
      </c>
      <c r="H5" s="1" t="s">
        <v>296</v>
      </c>
      <c r="I5" s="1" t="s">
        <v>18</v>
      </c>
      <c r="J5" s="1" t="s">
        <v>297</v>
      </c>
    </row>
    <row r="6" spans="1:10" ht="16">
      <c r="A6" s="3" t="s">
        <v>298</v>
      </c>
      <c r="B6" s="36">
        <v>10</v>
      </c>
      <c r="C6" s="36">
        <v>8</v>
      </c>
      <c r="D6" s="36">
        <v>25</v>
      </c>
      <c r="E6" s="36">
        <v>80</v>
      </c>
      <c r="F6" s="11">
        <f>B6*C6</f>
        <v>80</v>
      </c>
      <c r="G6" s="11">
        <f>B6*D6</f>
        <v>250</v>
      </c>
      <c r="H6" s="37">
        <f>(('Model Cost'!$L$14+'Model Cost'!$L$15+'Model Cost'!$L$16+'Model Cost'!$L$18)/Assumptions!$B$10)*F6+('Model Cost'!$L$17/Assumptions!$B$8)*B6+F6*((25000+E6*900)*'Model Cost'!$B$7/1000000+(2000+E6*90)*'Model Cost'!$C$7/1000000)+('Model Cost'!$L$20/Assumptions!$B$12)*G6</f>
        <v>86.72062600000001</v>
      </c>
      <c r="I6" s="37">
        <f>(SUMIF('Infra Cost'!$A$30:$A$56,"Download Agent",'Infra Cost'!$H$30:$H$56)/Assumptions!$B$10)*F6+(SUMIF('Infra Cost'!$A$30:$A$56,"PageIndex Agent",'Infra Cost'!$H$30:$H$56)/Assumptions!$B$10)*F6+(SUMIF('Infra Cost'!$A$30:$A$56,"Answering Agent",'Infra Cost'!$H$30:$H$56)/Assumptions!$B$12)*G6+SUMIF('Infra Cost'!$A$30:$A$56,"Shared",'Infra Cost'!$H$30:$H$56)</f>
        <v>4.2700155845833336</v>
      </c>
      <c r="J6" s="37">
        <f>H6+I6</f>
        <v>90.990641584583344</v>
      </c>
    </row>
    <row r="7" spans="1:10" ht="16">
      <c r="A7" s="3" t="s">
        <v>299</v>
      </c>
      <c r="B7" s="38">
        <f>Assumptions!$B$8</f>
        <v>20</v>
      </c>
      <c r="C7" s="38">
        <f>Assumptions!$B$9</f>
        <v>12</v>
      </c>
      <c r="D7" s="38">
        <f>Assumptions!$B$11</f>
        <v>50</v>
      </c>
      <c r="E7" s="38">
        <f>Assumptions!$B$13</f>
        <v>150</v>
      </c>
      <c r="F7" s="39">
        <f>B7*C7</f>
        <v>240</v>
      </c>
      <c r="G7" s="39">
        <f>B7*D7</f>
        <v>1000</v>
      </c>
      <c r="H7" s="40">
        <f>(('Model Cost'!$L$14+'Model Cost'!$L$15+'Model Cost'!$L$16+'Model Cost'!$L$18)/Assumptions!$B$10)*F7+('Model Cost'!$L$17/Assumptions!$B$8)*B7+F7*((25000+E7*900)*'Model Cost'!$B$7/1000000+(2000+E7*90)*'Model Cost'!$C$7/1000000)+('Model Cost'!$L$20/Assumptions!$B$12)*G7</f>
        <v>374.68872799999997</v>
      </c>
      <c r="I7" s="40">
        <f>(SUMIF('Infra Cost'!$A$30:$A$56,"Download Agent",'Infra Cost'!$H$30:$H$56)/Assumptions!$B$10)*F7+(SUMIF('Infra Cost'!$A$30:$A$56,"PageIndex Agent",'Infra Cost'!$H$30:$H$56)/Assumptions!$B$10)*F7+(SUMIF('Infra Cost'!$A$30:$A$56,"Answering Agent",'Infra Cost'!$H$30:$H$56)/Assumptions!$B$12)*G7+SUMIF('Infra Cost'!$A$30:$A$56,"Shared",'Infra Cost'!$H$30:$H$56)</f>
        <v>9.5808813683333334</v>
      </c>
      <c r="J7" s="40">
        <f>H7+I7</f>
        <v>384.26960936833331</v>
      </c>
    </row>
    <row r="8" spans="1:10" ht="16">
      <c r="A8" s="8" t="s">
        <v>300</v>
      </c>
      <c r="B8" s="41">
        <v>50</v>
      </c>
      <c r="C8" s="41">
        <v>15</v>
      </c>
      <c r="D8" s="41">
        <v>100</v>
      </c>
      <c r="E8" s="41">
        <v>250</v>
      </c>
      <c r="F8" s="42">
        <f>B8*C8</f>
        <v>750</v>
      </c>
      <c r="G8" s="42">
        <f>B8*D8</f>
        <v>5000</v>
      </c>
      <c r="H8" s="43">
        <f>(('Model Cost'!$L$14+'Model Cost'!$L$15+'Model Cost'!$L$16+'Model Cost'!$L$18)/Assumptions!$B$10)*F8+('Model Cost'!$L$17/Assumptions!$B$8)*B8+F8*((25000+E8*900)*'Model Cost'!$B$7/1000000+(2000+E8*90)*'Model Cost'!$C$7/1000000)+('Model Cost'!$L$20/Assumptions!$B$12)*G8</f>
        <v>1823.3858375</v>
      </c>
      <c r="I8" s="43">
        <f>(SUMIF('Infra Cost'!$A$30:$A$56,"Download Agent",'Infra Cost'!$H$30:$H$56)/Assumptions!$B$10)*F8+(SUMIF('Infra Cost'!$A$30:$A$56,"PageIndex Agent",'Infra Cost'!$H$30:$H$56)/Assumptions!$B$10)*F8+(SUMIF('Infra Cost'!$A$30:$A$56,"Answering Agent",'Infra Cost'!$H$30:$H$56)/Assumptions!$B$12)*G8+SUMIF('Infra Cost'!$A$30:$A$56,"Shared",'Infra Cost'!$H$30:$H$56)</f>
        <v>28.609458518229168</v>
      </c>
      <c r="J8" s="43">
        <f>H8+I8</f>
        <v>1851.9952960182291</v>
      </c>
    </row>
    <row r="9" spans="1:10" ht="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74" t="s">
        <v>301</v>
      </c>
      <c r="B11" s="74" t="s">
        <v>301</v>
      </c>
      <c r="C11" s="74" t="s">
        <v>301</v>
      </c>
      <c r="D11" s="74" t="s">
        <v>301</v>
      </c>
      <c r="E11" s="74" t="s">
        <v>301</v>
      </c>
      <c r="F11" s="74" t="s">
        <v>301</v>
      </c>
      <c r="G11" s="74" t="s">
        <v>301</v>
      </c>
      <c r="H11" s="74" t="s">
        <v>301</v>
      </c>
      <c r="I11" s="74" t="s">
        <v>301</v>
      </c>
      <c r="J11" s="74" t="s">
        <v>301</v>
      </c>
    </row>
    <row r="12" spans="1:10">
      <c r="A12" s="74" t="s">
        <v>301</v>
      </c>
      <c r="B12" s="74" t="s">
        <v>301</v>
      </c>
      <c r="C12" s="74" t="s">
        <v>301</v>
      </c>
      <c r="D12" s="74" t="s">
        <v>301</v>
      </c>
      <c r="E12" s="74" t="s">
        <v>301</v>
      </c>
      <c r="F12" s="74" t="s">
        <v>301</v>
      </c>
      <c r="G12" s="74" t="s">
        <v>301</v>
      </c>
      <c r="H12" s="74" t="s">
        <v>301</v>
      </c>
      <c r="I12" s="74" t="s">
        <v>301</v>
      </c>
      <c r="J12" s="74" t="s">
        <v>301</v>
      </c>
    </row>
    <row r="13" spans="1:10">
      <c r="A13" s="74" t="s">
        <v>301</v>
      </c>
      <c r="B13" s="74" t="s">
        <v>301</v>
      </c>
      <c r="C13" s="74" t="s">
        <v>301</v>
      </c>
      <c r="D13" s="74" t="s">
        <v>301</v>
      </c>
      <c r="E13" s="74" t="s">
        <v>301</v>
      </c>
      <c r="F13" s="74" t="s">
        <v>301</v>
      </c>
      <c r="G13" s="74" t="s">
        <v>301</v>
      </c>
      <c r="H13" s="74" t="s">
        <v>301</v>
      </c>
      <c r="I13" s="74" t="s">
        <v>301</v>
      </c>
      <c r="J13" s="74" t="s">
        <v>301</v>
      </c>
    </row>
    <row r="14" spans="1:10">
      <c r="A14" s="74" t="s">
        <v>301</v>
      </c>
      <c r="B14" s="74" t="s">
        <v>301</v>
      </c>
      <c r="C14" s="74" t="s">
        <v>301</v>
      </c>
      <c r="D14" s="74" t="s">
        <v>301</v>
      </c>
      <c r="E14" s="74" t="s">
        <v>301</v>
      </c>
      <c r="F14" s="74" t="s">
        <v>301</v>
      </c>
      <c r="G14" s="74" t="s">
        <v>301</v>
      </c>
      <c r="H14" s="74" t="s">
        <v>301</v>
      </c>
      <c r="I14" s="74" t="s">
        <v>301</v>
      </c>
      <c r="J14" s="74" t="s">
        <v>301</v>
      </c>
    </row>
    <row r="15" spans="1:10">
      <c r="A15" s="74" t="s">
        <v>301</v>
      </c>
      <c r="B15" s="74" t="s">
        <v>301</v>
      </c>
      <c r="C15" s="74" t="s">
        <v>301</v>
      </c>
      <c r="D15" s="74" t="s">
        <v>301</v>
      </c>
      <c r="E15" s="74" t="s">
        <v>301</v>
      </c>
      <c r="F15" s="74" t="s">
        <v>301</v>
      </c>
      <c r="G15" s="74" t="s">
        <v>301</v>
      </c>
      <c r="H15" s="74" t="s">
        <v>301</v>
      </c>
      <c r="I15" s="74" t="s">
        <v>301</v>
      </c>
      <c r="J15" s="74" t="s">
        <v>301</v>
      </c>
    </row>
  </sheetData>
  <mergeCells count="4">
    <mergeCell ref="A1:J1"/>
    <mergeCell ref="A2:J2"/>
    <mergeCell ref="A4:J4"/>
    <mergeCell ref="A11:J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showGridLines="0" workbookViewId="0">
      <selection sqref="A1:K1"/>
    </sheetView>
  </sheetViews>
  <sheetFormatPr baseColWidth="10" defaultColWidth="8.83203125" defaultRowHeight="14"/>
  <cols>
    <col min="1" max="2" width="24" customWidth="1"/>
    <col min="3" max="5" width="17" customWidth="1"/>
    <col min="6" max="6" width="18" customWidth="1"/>
    <col min="7" max="7" width="19" customWidth="1"/>
    <col min="8" max="8" width="24" customWidth="1"/>
    <col min="9" max="9" width="16" customWidth="1"/>
    <col min="10" max="10" width="18" customWidth="1"/>
    <col min="11" max="11" width="19" customWidth="1"/>
  </cols>
  <sheetData>
    <row r="1" spans="1:11" ht="34" customHeight="1">
      <c r="A1" s="58" t="s">
        <v>302</v>
      </c>
      <c r="B1" s="58" t="s">
        <v>302</v>
      </c>
      <c r="C1" s="58" t="s">
        <v>302</v>
      </c>
      <c r="D1" s="58" t="s">
        <v>302</v>
      </c>
      <c r="E1" s="58" t="s">
        <v>302</v>
      </c>
      <c r="F1" s="58" t="s">
        <v>302</v>
      </c>
      <c r="G1" s="58" t="s">
        <v>302</v>
      </c>
      <c r="H1" s="58" t="s">
        <v>302</v>
      </c>
      <c r="I1" s="58" t="s">
        <v>302</v>
      </c>
      <c r="J1" s="58" t="s">
        <v>302</v>
      </c>
      <c r="K1" s="58" t="s">
        <v>302</v>
      </c>
    </row>
    <row r="2" spans="1:11" ht="30" customHeight="1">
      <c r="A2" s="59" t="s">
        <v>303</v>
      </c>
      <c r="B2" s="59" t="s">
        <v>303</v>
      </c>
      <c r="C2" s="59" t="s">
        <v>303</v>
      </c>
      <c r="D2" s="59" t="s">
        <v>303</v>
      </c>
      <c r="E2" s="59" t="s">
        <v>303</v>
      </c>
      <c r="F2" s="59" t="s">
        <v>303</v>
      </c>
      <c r="G2" s="59" t="s">
        <v>303</v>
      </c>
      <c r="H2" s="59" t="s">
        <v>303</v>
      </c>
      <c r="I2" s="59" t="s">
        <v>303</v>
      </c>
      <c r="J2" s="59" t="s">
        <v>303</v>
      </c>
      <c r="K2" s="59" t="s">
        <v>303</v>
      </c>
    </row>
    <row r="3" spans="1:11" ht="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2" customHeight="1">
      <c r="A4" s="64" t="s">
        <v>304</v>
      </c>
      <c r="B4" s="64" t="s">
        <v>304</v>
      </c>
      <c r="C4" s="64" t="s">
        <v>304</v>
      </c>
      <c r="D4" s="64" t="s">
        <v>304</v>
      </c>
      <c r="E4" s="64" t="s">
        <v>304</v>
      </c>
      <c r="F4" s="64" t="s">
        <v>304</v>
      </c>
      <c r="G4" s="64" t="s">
        <v>304</v>
      </c>
      <c r="H4" s="64" t="s">
        <v>304</v>
      </c>
      <c r="I4" s="64" t="s">
        <v>304</v>
      </c>
      <c r="J4" s="64" t="s">
        <v>304</v>
      </c>
      <c r="K4" s="64" t="s">
        <v>304</v>
      </c>
    </row>
    <row r="5" spans="1:11" ht="16">
      <c r="A5" s="1" t="s">
        <v>289</v>
      </c>
      <c r="B5" s="1" t="s">
        <v>305</v>
      </c>
      <c r="C5" s="1" t="s">
        <v>306</v>
      </c>
      <c r="D5" s="1" t="s">
        <v>307</v>
      </c>
      <c r="E5" s="1" t="s">
        <v>293</v>
      </c>
      <c r="F5" s="1" t="s">
        <v>174</v>
      </c>
      <c r="G5" s="1" t="s">
        <v>175</v>
      </c>
      <c r="H5" s="1" t="s">
        <v>308</v>
      </c>
      <c r="I5" s="1" t="s">
        <v>18</v>
      </c>
      <c r="J5" s="1" t="s">
        <v>19</v>
      </c>
      <c r="K5" s="1" t="s">
        <v>21</v>
      </c>
    </row>
    <row r="6" spans="1:11" ht="16">
      <c r="A6" s="3" t="s">
        <v>309</v>
      </c>
      <c r="B6" s="5">
        <v>1</v>
      </c>
      <c r="C6" s="5">
        <v>23</v>
      </c>
      <c r="D6" s="5">
        <v>29</v>
      </c>
      <c r="E6" s="27">
        <f>Assumptions!$B$13</f>
        <v>150</v>
      </c>
      <c r="F6" s="27">
        <f>C17</f>
        <v>6477839.5</v>
      </c>
      <c r="G6" s="27">
        <f>D17</f>
        <v>558115</v>
      </c>
      <c r="H6" s="22">
        <f>F17</f>
        <v>23.475464350000003</v>
      </c>
      <c r="I6" s="22">
        <f>F28</f>
        <v>2.8188126309270833</v>
      </c>
      <c r="J6" s="22">
        <f>H6+I6</f>
        <v>26.294276980927087</v>
      </c>
      <c r="K6" s="22">
        <f>G17+I6</f>
        <v>29.744526980927084</v>
      </c>
    </row>
    <row r="7" spans="1:11" ht="16">
      <c r="A7" s="8" t="s">
        <v>310</v>
      </c>
      <c r="B7" s="13">
        <v>20</v>
      </c>
      <c r="C7" s="13">
        <v>240</v>
      </c>
      <c r="D7" s="13">
        <v>1000</v>
      </c>
      <c r="E7" s="44">
        <f>Assumptions!$B$13</f>
        <v>150</v>
      </c>
      <c r="F7" s="44">
        <f>C23</f>
        <v>117812760</v>
      </c>
      <c r="G7" s="44">
        <f>D23</f>
        <v>8756200</v>
      </c>
      <c r="H7" s="23">
        <f>F23</f>
        <v>374.68872800000003</v>
      </c>
      <c r="I7" s="23">
        <f>F29</f>
        <v>9.5808813683333334</v>
      </c>
      <c r="J7" s="23">
        <f>H7+I7</f>
        <v>384.26960936833336</v>
      </c>
      <c r="K7" s="23">
        <f>G23+I7</f>
        <v>485.12960936833332</v>
      </c>
    </row>
    <row r="8" spans="1:11" ht="1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2" customHeight="1">
      <c r="A10" s="64" t="s">
        <v>311</v>
      </c>
      <c r="B10" s="64" t="s">
        <v>311</v>
      </c>
      <c r="C10" s="64" t="s">
        <v>311</v>
      </c>
      <c r="D10" s="64" t="s">
        <v>311</v>
      </c>
      <c r="E10" s="64" t="s">
        <v>311</v>
      </c>
      <c r="F10" s="64" t="s">
        <v>311</v>
      </c>
      <c r="G10" s="64" t="s">
        <v>311</v>
      </c>
      <c r="H10" s="64" t="s">
        <v>311</v>
      </c>
      <c r="I10" s="2"/>
      <c r="J10" s="2"/>
      <c r="K10" s="2"/>
    </row>
    <row r="11" spans="1:11" ht="16">
      <c r="A11" s="1" t="s">
        <v>289</v>
      </c>
      <c r="B11" s="1" t="s">
        <v>27</v>
      </c>
      <c r="C11" s="1" t="s">
        <v>174</v>
      </c>
      <c r="D11" s="1" t="s">
        <v>175</v>
      </c>
      <c r="E11" s="1" t="s">
        <v>312</v>
      </c>
      <c r="F11" s="1" t="s">
        <v>313</v>
      </c>
      <c r="G11" s="1" t="s">
        <v>314</v>
      </c>
      <c r="H11" s="1" t="s">
        <v>315</v>
      </c>
      <c r="I11" s="2"/>
      <c r="J11" s="2"/>
      <c r="K11" s="2"/>
    </row>
    <row r="12" spans="1:11" ht="16">
      <c r="A12" s="3" t="s">
        <v>309</v>
      </c>
      <c r="B12" s="3" t="s">
        <v>30</v>
      </c>
      <c r="C12" s="27">
        <f>$C$6*(Assumptions!$F$23*Assumptions!$G$23+Assumptions!$F$24*Assumptions!$G$24)+$D$6*Assumptions!$F$29*Assumptions!$G$29</f>
        <v>2686000</v>
      </c>
      <c r="D12" s="27">
        <f>$C$6*(Assumptions!$F$23*Assumptions!$H$23+Assumptions!$F$24*Assumptions!$H$24)+$D$6*Assumptions!$F$29*Assumptions!$H$29</f>
        <v>152850</v>
      </c>
      <c r="E12" s="27">
        <f>C12+D12</f>
        <v>2838850</v>
      </c>
      <c r="F12" s="45">
        <f>C12/1000000*'Model Cost'!$B$6+D12/1000000*'Model Cost'!$C$6</f>
        <v>6.9005000000000001</v>
      </c>
      <c r="G12" s="45">
        <f>C12/1000000*'Model Cost'!$D$6+D12/1000000*'Model Cost'!$E$6</f>
        <v>10.35075</v>
      </c>
      <c r="H12" s="3" t="s">
        <v>316</v>
      </c>
      <c r="I12" s="2"/>
      <c r="J12" s="2"/>
      <c r="K12" s="2"/>
    </row>
    <row r="13" spans="1:11" ht="16">
      <c r="A13" s="3" t="s">
        <v>309</v>
      </c>
      <c r="B13" s="3" t="s">
        <v>31</v>
      </c>
      <c r="C13" s="27">
        <f>$C$6*Assumptions!$F$28*(25000+$E$6*900)</f>
        <v>3680000</v>
      </c>
      <c r="D13" s="27">
        <f>$C$6*Assumptions!$F$28*(2000+$E$6*90)</f>
        <v>356500</v>
      </c>
      <c r="E13" s="27">
        <f>C13+D13</f>
        <v>4036500</v>
      </c>
      <c r="F13" s="45">
        <f>C13/1000000*'Model Cost'!$B$7+D13/1000000*'Model Cost'!$C$7</f>
        <v>16.387500000000003</v>
      </c>
      <c r="G13" s="45">
        <f>C13/1000000*'Model Cost'!$D$7+D13/1000000*'Model Cost'!$E$7</f>
        <v>16.387500000000003</v>
      </c>
      <c r="H13" s="3" t="s">
        <v>317</v>
      </c>
      <c r="I13" s="2"/>
      <c r="J13" s="2"/>
      <c r="K13" s="2"/>
    </row>
    <row r="14" spans="1:11" ht="32">
      <c r="A14" s="3" t="s">
        <v>309</v>
      </c>
      <c r="B14" s="3" t="s">
        <v>32</v>
      </c>
      <c r="C14" s="27">
        <f>$C$6*Assumptions!$F$25*Assumptions!$G$25+$B$6*Assumptions!$F$26*Assumptions!$G$26</f>
        <v>111000</v>
      </c>
      <c r="D14" s="27">
        <f>$C$6*Assumptions!$F$25*Assumptions!$H$25+$B$6*Assumptions!$F$26*Assumptions!$H$26</f>
        <v>48650</v>
      </c>
      <c r="E14" s="27">
        <f>C14+D14</f>
        <v>159650</v>
      </c>
      <c r="F14" s="45">
        <f>C14/1000000*'Model Cost'!$B$8+D14/1000000*'Model Cost'!$C$8</f>
        <v>0.18692500000000001</v>
      </c>
      <c r="G14" s="45">
        <f>C14/1000000*'Model Cost'!$D$8+D14/1000000*'Model Cost'!$E$8</f>
        <v>0.18692500000000001</v>
      </c>
      <c r="H14" s="3" t="s">
        <v>318</v>
      </c>
      <c r="I14" s="2"/>
      <c r="J14" s="2"/>
      <c r="K14" s="2"/>
    </row>
    <row r="15" spans="1:11" ht="16">
      <c r="A15" s="3" t="s">
        <v>309</v>
      </c>
      <c r="B15" s="3" t="s">
        <v>33</v>
      </c>
      <c r="C15" s="27">
        <f>$C$6*Assumptions!$F$27*Assumptions!$G$27</f>
        <v>839.50000000000011</v>
      </c>
      <c r="D15" s="27">
        <f>$C$6*Assumptions!$F$27*Assumptions!$H$27</f>
        <v>115.00000000000001</v>
      </c>
      <c r="E15" s="27">
        <f>C15+D15</f>
        <v>954.50000000000011</v>
      </c>
      <c r="F15" s="45">
        <f>C15/1000000*'Model Cost'!$B$9+D15/1000000*'Model Cost'!$C$9</f>
        <v>5.3935000000000007E-4</v>
      </c>
      <c r="G15" s="45">
        <f>C15/1000000*'Model Cost'!$D$9+D15/1000000*'Model Cost'!$E$9</f>
        <v>5.3935000000000007E-4</v>
      </c>
      <c r="H15" s="3" t="s">
        <v>94</v>
      </c>
      <c r="I15" s="2"/>
      <c r="J15" s="2"/>
      <c r="K15" s="2"/>
    </row>
    <row r="16" spans="1:11" ht="48">
      <c r="A16" s="3" t="s">
        <v>309</v>
      </c>
      <c r="B16" s="3" t="s">
        <v>34</v>
      </c>
      <c r="C16" s="27">
        <v>0</v>
      </c>
      <c r="D16" s="27">
        <v>0</v>
      </c>
      <c r="E16" s="27">
        <v>0</v>
      </c>
      <c r="F16" s="45">
        <f>MAX(0,($C$6*Assumptions!$F$25+$B$6*Assumptions!$F$26)/Assumptions!$B$7-'Model Cost'!$I$5)*Assumptions!$B$7*'Model Cost'!$I$6/1000</f>
        <v>0</v>
      </c>
      <c r="G16" s="45">
        <f>F16</f>
        <v>0</v>
      </c>
      <c r="H16" s="3" t="s">
        <v>319</v>
      </c>
      <c r="I16" s="2"/>
      <c r="J16" s="2"/>
      <c r="K16" s="2"/>
    </row>
    <row r="17" spans="1:11" ht="16">
      <c r="A17" s="46" t="s">
        <v>309</v>
      </c>
      <c r="B17" s="46" t="s">
        <v>184</v>
      </c>
      <c r="C17" s="47">
        <f>SUM(C12:C16)</f>
        <v>6477839.5</v>
      </c>
      <c r="D17" s="47">
        <f>SUM(D12:D16)</f>
        <v>558115</v>
      </c>
      <c r="E17" s="47">
        <f>SUM(E12:E16)</f>
        <v>7035954.5</v>
      </c>
      <c r="F17" s="48">
        <f>SUM(F12:F16)</f>
        <v>23.475464350000003</v>
      </c>
      <c r="G17" s="48">
        <f>SUM(G12:G16)</f>
        <v>26.92571435</v>
      </c>
      <c r="H17" s="46"/>
      <c r="I17" s="2"/>
      <c r="J17" s="2"/>
      <c r="K17" s="2"/>
    </row>
    <row r="18" spans="1:11" ht="16">
      <c r="A18" s="3" t="s">
        <v>310</v>
      </c>
      <c r="B18" s="3" t="s">
        <v>30</v>
      </c>
      <c r="C18" s="27">
        <f>$C$7*(Assumptions!$F$23*Assumptions!$G$23+Assumptions!$F$24*Assumptions!$G$24)+$D$7*Assumptions!$F$29*Assumptions!$G$29</f>
        <v>78240000</v>
      </c>
      <c r="D18" s="27">
        <f>$C$7*(Assumptions!$F$23*Assumptions!$H$23+Assumptions!$F$24*Assumptions!$H$24)+$D$7*Assumptions!$F$29*Assumptions!$H$29</f>
        <v>4524000</v>
      </c>
      <c r="E18" s="27">
        <f>C18+D18</f>
        <v>82764000</v>
      </c>
      <c r="F18" s="45">
        <f>C18/1000000*'Model Cost'!$B$6+D18/1000000*'Model Cost'!$C$6</f>
        <v>201.72</v>
      </c>
      <c r="G18" s="45">
        <f>C18/1000000*'Model Cost'!$D$6+D18/1000000*'Model Cost'!$E$6</f>
        <v>302.58</v>
      </c>
      <c r="H18" s="3" t="s">
        <v>316</v>
      </c>
      <c r="I18" s="2"/>
      <c r="J18" s="2"/>
      <c r="K18" s="2"/>
    </row>
    <row r="19" spans="1:11" ht="16">
      <c r="A19" s="3" t="s">
        <v>310</v>
      </c>
      <c r="B19" s="3" t="s">
        <v>31</v>
      </c>
      <c r="C19" s="27">
        <f>$C$7*Assumptions!$F$28*(25000+$E$7*900)</f>
        <v>38400000</v>
      </c>
      <c r="D19" s="27">
        <f>$C$7*Assumptions!$F$28*(2000+$E$7*90)</f>
        <v>3720000</v>
      </c>
      <c r="E19" s="27">
        <f>C19+D19</f>
        <v>42120000</v>
      </c>
      <c r="F19" s="45">
        <f>C19/1000000*'Model Cost'!$B$7+D19/1000000*'Model Cost'!$C$7</f>
        <v>171</v>
      </c>
      <c r="G19" s="45">
        <f>C19/1000000*'Model Cost'!$D$7+D19/1000000*'Model Cost'!$E$7</f>
        <v>171</v>
      </c>
      <c r="H19" s="3" t="s">
        <v>317</v>
      </c>
      <c r="I19" s="2"/>
      <c r="J19" s="2"/>
      <c r="K19" s="2"/>
    </row>
    <row r="20" spans="1:11" ht="32">
      <c r="A20" s="3" t="s">
        <v>310</v>
      </c>
      <c r="B20" s="3" t="s">
        <v>32</v>
      </c>
      <c r="C20" s="27">
        <f>$C$7*Assumptions!$F$25*Assumptions!$G$25+$B$7*Assumptions!$F$26*Assumptions!$G$26</f>
        <v>1164000</v>
      </c>
      <c r="D20" s="27">
        <f>$C$7*Assumptions!$F$25*Assumptions!$H$25+$B$7*Assumptions!$F$26*Assumptions!$H$26</f>
        <v>511000</v>
      </c>
      <c r="E20" s="27">
        <f>C20+D20</f>
        <v>1675000</v>
      </c>
      <c r="F20" s="45">
        <f>C20/1000000*'Model Cost'!$B$8+D20/1000000*'Model Cost'!$C$8</f>
        <v>1.9630999999999998</v>
      </c>
      <c r="G20" s="45">
        <f>C20/1000000*'Model Cost'!$D$8+D20/1000000*'Model Cost'!$E$8</f>
        <v>1.9630999999999998</v>
      </c>
      <c r="H20" s="3" t="s">
        <v>318</v>
      </c>
      <c r="I20" s="2"/>
      <c r="J20" s="2"/>
      <c r="K20" s="2"/>
    </row>
    <row r="21" spans="1:11" ht="16">
      <c r="A21" s="3" t="s">
        <v>310</v>
      </c>
      <c r="B21" s="3" t="s">
        <v>33</v>
      </c>
      <c r="C21" s="27">
        <f>$C$7*Assumptions!$F$27*Assumptions!$G$27</f>
        <v>8760</v>
      </c>
      <c r="D21" s="27">
        <f>$C$7*Assumptions!$F$27*Assumptions!$H$27</f>
        <v>1200</v>
      </c>
      <c r="E21" s="27">
        <f>C21+D21</f>
        <v>9960</v>
      </c>
      <c r="F21" s="45">
        <f>C21/1000000*'Model Cost'!$B$9+D21/1000000*'Model Cost'!$C$9</f>
        <v>5.6279999999999993E-3</v>
      </c>
      <c r="G21" s="45">
        <f>C21/1000000*'Model Cost'!$D$9+D21/1000000*'Model Cost'!$E$9</f>
        <v>5.6279999999999993E-3</v>
      </c>
      <c r="H21" s="3" t="s">
        <v>94</v>
      </c>
      <c r="I21" s="2"/>
      <c r="J21" s="2"/>
      <c r="K21" s="2"/>
    </row>
    <row r="22" spans="1:11" ht="48">
      <c r="A22" s="3" t="s">
        <v>310</v>
      </c>
      <c r="B22" s="3" t="s">
        <v>34</v>
      </c>
      <c r="C22" s="27">
        <v>0</v>
      </c>
      <c r="D22" s="27">
        <v>0</v>
      </c>
      <c r="E22" s="27">
        <v>0</v>
      </c>
      <c r="F22" s="45">
        <f>MAX(0,($C$7*Assumptions!$F$25+$B$7*Assumptions!$F$26)/Assumptions!$B$7-'Model Cost'!$I$5)*Assumptions!$B$7*'Model Cost'!$I$6/1000</f>
        <v>0</v>
      </c>
      <c r="G22" s="45">
        <f>F22</f>
        <v>0</v>
      </c>
      <c r="H22" s="3" t="s">
        <v>319</v>
      </c>
      <c r="I22" s="2"/>
      <c r="J22" s="2"/>
      <c r="K22" s="2"/>
    </row>
    <row r="23" spans="1:11" ht="16">
      <c r="A23" s="30" t="s">
        <v>310</v>
      </c>
      <c r="B23" s="30" t="s">
        <v>184</v>
      </c>
      <c r="C23" s="49">
        <f>SUM(C18:C22)</f>
        <v>117812760</v>
      </c>
      <c r="D23" s="49">
        <f>SUM(D18:D22)</f>
        <v>8756200</v>
      </c>
      <c r="E23" s="49">
        <f>SUM(E18:E22)</f>
        <v>126568960</v>
      </c>
      <c r="F23" s="50">
        <f>SUM(F18:F22)</f>
        <v>374.68872800000003</v>
      </c>
      <c r="G23" s="50">
        <f>SUM(G18:G22)</f>
        <v>475.54872799999998</v>
      </c>
      <c r="H23" s="30"/>
      <c r="I23" s="2"/>
      <c r="J23" s="2"/>
      <c r="K23" s="2"/>
    </row>
    <row r="24" spans="1:11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2" customHeight="1">
      <c r="A26" s="64" t="s">
        <v>320</v>
      </c>
      <c r="B26" s="64" t="s">
        <v>320</v>
      </c>
      <c r="C26" s="64" t="s">
        <v>320</v>
      </c>
      <c r="D26" s="64" t="s">
        <v>320</v>
      </c>
      <c r="E26" s="64" t="s">
        <v>320</v>
      </c>
      <c r="F26" s="64" t="s">
        <v>320</v>
      </c>
      <c r="G26" s="64" t="s">
        <v>320</v>
      </c>
      <c r="H26" s="2"/>
      <c r="I26" s="2"/>
      <c r="J26" s="2"/>
      <c r="K26" s="2"/>
    </row>
    <row r="27" spans="1:11" ht="16">
      <c r="A27" s="1" t="s">
        <v>289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321</v>
      </c>
      <c r="G27" s="1" t="s">
        <v>242</v>
      </c>
      <c r="H27" s="2"/>
      <c r="I27" s="2"/>
      <c r="J27" s="2"/>
      <c r="K27" s="2"/>
    </row>
    <row r="28" spans="1:11" ht="64">
      <c r="A28" s="3" t="s">
        <v>309</v>
      </c>
      <c r="B28" s="45">
        <f>$C$6*(Assumptions!$B$34/3600*'Infra Cost'!$B$6+Assumptions!$B$35/3600*Assumptions!$B$36*'Infra Cost'!$B$7+Assumptions!$B$37*Assumptions!$B$38/3600*Assumptions!$B$39*'Infra Cost'!$B$8+Assumptions!$B$37*Assumptions!$B$40/3600*Assumptions!$B$41*'Infra Cost'!$B$9)+($C$6*Assumptions!$F$25+$B$6*Assumptions!$F$26)*(Assumptions!$B$48*Assumptions!$B$49*'Infra Cost'!$B$10+'Infra Cost'!$B$11/1000000+Assumptions!$B$50/1000*'Infra Cost'!$B$12+Assumptions!$B$50/1000*'Infra Cost'!$B$13)+$C$6*('Infra Cost'!$B$17/1000000+2*'Infra Cost'!$B$18/1000000)+Assumptions!$B$18*('Infra Cost'!$B$19+'Infra Cost'!$B$20)+'Infra Cost'!$B$22+($C$6*Assumptions!$B$51+($C$6*Assumptions!$F$25+$B$6*Assumptions!$F$26)*Assumptions!$B$54)/1024*'Infra Cost'!$B$23+$C$6*'Infra Cost'!$E$55*'Infra Cost'!$G$55+Assumptions!$B$56*'Infra Cost'!$B$26</f>
        <v>0.75515648462500007</v>
      </c>
      <c r="C28" s="45">
        <f>$C$6*(Assumptions!$B$42/3600*'Infra Cost'!$B$6+Assumptions!$B$43/3600*Assumptions!$B$44*'Infra Cost'!$B$7+Assumptions!$B$52/1024*'Infra Cost'!$B$23)</f>
        <v>0.27768307291666666</v>
      </c>
      <c r="D28" s="45">
        <f>$D$6*(Assumptions!$B$45/3600*'Infra Cost'!$B$6+Assumptions!$B$46/3600*Assumptions!$B$47*'Infra Cost'!$B$7+Assumptions!$B$53/1024*'Infra Cost'!$B$23)</f>
        <v>3.7844244791666669E-2</v>
      </c>
      <c r="E28" s="45">
        <f>(Assumptions!$B$15+$C$6*Assumptions!$B$14/1024/2)*Assumptions!$B$16*'Infra Cost'!$B$14+$C$6*2/1000*'Infra Cost'!$B$15+($C$6*6+$D$6*0.2)/1000*'Infra Cost'!$B$16+Assumptions!$B$17*'Infra Cost'!$B$21+Assumptions!$B$55*'Infra Cost'!$B$24</f>
        <v>1.74812882859375</v>
      </c>
      <c r="F28" s="45">
        <f>SUM(B28:E28)</f>
        <v>2.8188126309270833</v>
      </c>
      <c r="G28" s="3" t="s">
        <v>322</v>
      </c>
      <c r="H28" s="2"/>
      <c r="I28" s="2"/>
      <c r="J28" s="2"/>
      <c r="K28" s="2"/>
    </row>
    <row r="29" spans="1:11" ht="32">
      <c r="A29" s="3" t="s">
        <v>310</v>
      </c>
      <c r="B29" s="45">
        <f>$C$7*(Assumptions!$B$34/3600*'Infra Cost'!$B$6+Assumptions!$B$35/3600*Assumptions!$B$36*'Infra Cost'!$B$7+Assumptions!$B$37*Assumptions!$B$38/3600*Assumptions!$B$39*'Infra Cost'!$B$8+Assumptions!$B$37*Assumptions!$B$40/3600*Assumptions!$B$41*'Infra Cost'!$B$9)+($C$7*Assumptions!$F$25+$B$7*Assumptions!$F$26)*(Assumptions!$B$48*Assumptions!$B$49*'Infra Cost'!$B$10+'Infra Cost'!$B$11/1000000+Assumptions!$B$50/1000*'Infra Cost'!$B$12+Assumptions!$B$50/1000*'Infra Cost'!$B$13)+$C$7*('Infra Cost'!$B$17/1000000+2*'Infra Cost'!$B$18/1000000)+Assumptions!$B$18*('Infra Cost'!$B$19+'Infra Cost'!$B$20)+'Infra Cost'!$B$22+($C$7*Assumptions!$B$51+($C$7*Assumptions!$F$25+$B$7*Assumptions!$F$26)*Assumptions!$B$54)/1024*'Infra Cost'!$B$23+$C$7*'Infra Cost'!$E$55*'Infra Cost'!$G$55+Assumptions!$B$56*'Infra Cost'!$B$26</f>
        <v>3.6006404725000003</v>
      </c>
      <c r="C29" s="45">
        <f>$C$7*(Assumptions!$B$42/3600*'Infra Cost'!$B$6+Assumptions!$B$43/3600*Assumptions!$B$44*'Infra Cost'!$B$7+Assumptions!$B$52/1024*'Infra Cost'!$B$23)</f>
        <v>2.8975624999999998</v>
      </c>
      <c r="D29" s="45">
        <f>$D$7*(Assumptions!$B$45/3600*'Infra Cost'!$B$6+Assumptions!$B$46/3600*Assumptions!$B$47*'Infra Cost'!$B$7+Assumptions!$B$53/1024*'Infra Cost'!$B$23)</f>
        <v>1.3049739583333333</v>
      </c>
      <c r="E29" s="45">
        <f>(Assumptions!$B$15+$C$7*Assumptions!$B$14/1024/2)*Assumptions!$B$16*'Infra Cost'!$B$14+$C$7*2/1000*'Infra Cost'!$B$15+($C$7*6+$D$7*0.2)/1000*'Infra Cost'!$B$16+Assumptions!$B$17*'Infra Cost'!$B$21+Assumptions!$B$55*'Infra Cost'!$B$24</f>
        <v>1.7777044375000002</v>
      </c>
      <c r="F29" s="45">
        <f>SUM(B29:E29)</f>
        <v>9.5808813683333334</v>
      </c>
      <c r="G29" s="3" t="s">
        <v>323</v>
      </c>
      <c r="H29" s="2"/>
      <c r="I29" s="2"/>
      <c r="J29" s="2"/>
      <c r="K29" s="2"/>
    </row>
    <row r="30" spans="1:11" ht="48">
      <c r="A30" s="8" t="s">
        <v>324</v>
      </c>
      <c r="B30" s="51">
        <v>0</v>
      </c>
      <c r="C30" s="51">
        <v>0</v>
      </c>
      <c r="D30" s="51">
        <v>0</v>
      </c>
      <c r="E30" s="51">
        <v>0</v>
      </c>
      <c r="F30" s="51">
        <f>F29-'Infra Cost'!$H$57</f>
        <v>0</v>
      </c>
      <c r="G30" s="8" t="s">
        <v>325</v>
      </c>
      <c r="H30" s="2"/>
      <c r="I30" s="2"/>
      <c r="J30" s="2"/>
      <c r="K30" s="2"/>
    </row>
    <row r="31" spans="1:11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65" t="s">
        <v>326</v>
      </c>
      <c r="B33" s="66" t="s">
        <v>326</v>
      </c>
      <c r="C33" s="66" t="s">
        <v>326</v>
      </c>
      <c r="D33" s="66" t="s">
        <v>326</v>
      </c>
      <c r="E33" s="66" t="s">
        <v>326</v>
      </c>
      <c r="F33" s="66" t="s">
        <v>326</v>
      </c>
      <c r="G33" s="66" t="s">
        <v>326</v>
      </c>
      <c r="H33" s="66" t="s">
        <v>326</v>
      </c>
      <c r="I33" s="66" t="s">
        <v>326</v>
      </c>
      <c r="J33" s="66" t="s">
        <v>326</v>
      </c>
      <c r="K33" s="67" t="s">
        <v>326</v>
      </c>
    </row>
    <row r="34" spans="1:11">
      <c r="A34" s="68" t="s">
        <v>326</v>
      </c>
      <c r="B34" s="69" t="s">
        <v>326</v>
      </c>
      <c r="C34" s="69" t="s">
        <v>326</v>
      </c>
      <c r="D34" s="69" t="s">
        <v>326</v>
      </c>
      <c r="E34" s="69" t="s">
        <v>326</v>
      </c>
      <c r="F34" s="69" t="s">
        <v>326</v>
      </c>
      <c r="G34" s="69" t="s">
        <v>326</v>
      </c>
      <c r="H34" s="69" t="s">
        <v>326</v>
      </c>
      <c r="I34" s="69" t="s">
        <v>326</v>
      </c>
      <c r="J34" s="69" t="s">
        <v>326</v>
      </c>
      <c r="K34" s="70" t="s">
        <v>326</v>
      </c>
    </row>
    <row r="35" spans="1:11">
      <c r="A35" s="68" t="s">
        <v>326</v>
      </c>
      <c r="B35" s="69" t="s">
        <v>326</v>
      </c>
      <c r="C35" s="69" t="s">
        <v>326</v>
      </c>
      <c r="D35" s="69" t="s">
        <v>326</v>
      </c>
      <c r="E35" s="69" t="s">
        <v>326</v>
      </c>
      <c r="F35" s="69" t="s">
        <v>326</v>
      </c>
      <c r="G35" s="69" t="s">
        <v>326</v>
      </c>
      <c r="H35" s="69" t="s">
        <v>326</v>
      </c>
      <c r="I35" s="69" t="s">
        <v>326</v>
      </c>
      <c r="J35" s="69" t="s">
        <v>326</v>
      </c>
      <c r="K35" s="70" t="s">
        <v>326</v>
      </c>
    </row>
    <row r="36" spans="1:11">
      <c r="A36" s="71" t="s">
        <v>326</v>
      </c>
      <c r="B36" s="72" t="s">
        <v>326</v>
      </c>
      <c r="C36" s="72" t="s">
        <v>326</v>
      </c>
      <c r="D36" s="72" t="s">
        <v>326</v>
      </c>
      <c r="E36" s="72" t="s">
        <v>326</v>
      </c>
      <c r="F36" s="72" t="s">
        <v>326</v>
      </c>
      <c r="G36" s="72" t="s">
        <v>326</v>
      </c>
      <c r="H36" s="72" t="s">
        <v>326</v>
      </c>
      <c r="I36" s="72" t="s">
        <v>326</v>
      </c>
      <c r="J36" s="72" t="s">
        <v>326</v>
      </c>
      <c r="K36" s="73" t="s">
        <v>326</v>
      </c>
    </row>
  </sheetData>
  <mergeCells count="6">
    <mergeCell ref="A33:K36"/>
    <mergeCell ref="A1:K1"/>
    <mergeCell ref="A2:K2"/>
    <mergeCell ref="A4:K4"/>
    <mergeCell ref="A10:H10"/>
    <mergeCell ref="A26:G26"/>
  </mergeCells>
  <conditionalFormatting sqref="F30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workbookViewId="0">
      <selection sqref="A1:G1"/>
    </sheetView>
  </sheetViews>
  <sheetFormatPr baseColWidth="10" defaultColWidth="8.83203125" defaultRowHeight="14"/>
  <cols>
    <col min="1" max="1" width="34" customWidth="1"/>
    <col min="2" max="4" width="16" customWidth="1"/>
    <col min="5" max="5" width="13" customWidth="1"/>
    <col min="6" max="6" width="12" customWidth="1"/>
    <col min="7" max="7" width="48" customWidth="1"/>
  </cols>
  <sheetData>
    <row r="1" spans="1:7" ht="34" customHeight="1">
      <c r="A1" s="58" t="s">
        <v>327</v>
      </c>
      <c r="B1" s="58" t="s">
        <v>327</v>
      </c>
      <c r="C1" s="58" t="s">
        <v>327</v>
      </c>
      <c r="D1" s="58" t="s">
        <v>327</v>
      </c>
      <c r="E1" s="58" t="s">
        <v>327</v>
      </c>
      <c r="F1" s="58" t="s">
        <v>327</v>
      </c>
      <c r="G1" s="58" t="s">
        <v>327</v>
      </c>
    </row>
    <row r="2" spans="1:7" ht="19">
      <c r="A2" s="52" t="s">
        <v>328</v>
      </c>
      <c r="B2" s="52" t="str">
        <f>IF(COUNTIF(F6:F13,"FAIL")=0,"PASS","FAIL")</f>
        <v>FAIL</v>
      </c>
      <c r="C2" s="75" t="s">
        <v>329</v>
      </c>
      <c r="D2" s="75" t="s">
        <v>329</v>
      </c>
      <c r="E2" s="75" t="s">
        <v>329</v>
      </c>
      <c r="F2" s="75" t="s">
        <v>329</v>
      </c>
      <c r="G2" s="75" t="s">
        <v>329</v>
      </c>
    </row>
    <row r="3" spans="1:7" ht="15">
      <c r="A3" s="2"/>
      <c r="B3" s="2"/>
      <c r="C3" s="2"/>
      <c r="D3" s="2"/>
      <c r="E3" s="2"/>
      <c r="F3" s="2"/>
      <c r="G3" s="2"/>
    </row>
    <row r="4" spans="1:7" ht="15">
      <c r="A4" s="2"/>
      <c r="B4" s="2"/>
      <c r="C4" s="2"/>
      <c r="D4" s="2"/>
      <c r="E4" s="2"/>
      <c r="F4" s="2"/>
      <c r="G4" s="2"/>
    </row>
    <row r="5" spans="1:7" ht="16">
      <c r="A5" s="1" t="s">
        <v>330</v>
      </c>
      <c r="B5" s="1" t="s">
        <v>331</v>
      </c>
      <c r="C5" s="1" t="s">
        <v>332</v>
      </c>
      <c r="D5" s="1" t="s">
        <v>333</v>
      </c>
      <c r="E5" s="1" t="s">
        <v>334</v>
      </c>
      <c r="F5" s="1" t="s">
        <v>335</v>
      </c>
      <c r="G5" s="1" t="s">
        <v>242</v>
      </c>
    </row>
    <row r="6" spans="1:7" ht="16">
      <c r="A6" s="3" t="s">
        <v>336</v>
      </c>
      <c r="B6" s="34">
        <f>Assumptions!$B$10</f>
        <v>240</v>
      </c>
      <c r="C6" s="34">
        <f>Assumptions!$B$8*Assumptions!$B$9</f>
        <v>240</v>
      </c>
      <c r="D6" s="34">
        <f t="shared" ref="D6:D13" si="0">B6-C6</f>
        <v>0</v>
      </c>
      <c r="E6" s="53">
        <v>0</v>
      </c>
      <c r="F6" s="3" t="str">
        <f t="shared" ref="F6:F11" si="1">IF(ABS(D6)&lt;=E6,"OK","FAIL")</f>
        <v>OK</v>
      </c>
      <c r="G6" s="3" t="s">
        <v>56</v>
      </c>
    </row>
    <row r="7" spans="1:7" ht="16">
      <c r="A7" s="3" t="s">
        <v>337</v>
      </c>
      <c r="B7" s="34">
        <f>Assumptions!$B$12</f>
        <v>1000</v>
      </c>
      <c r="C7" s="34">
        <f>Assumptions!$B$8*Assumptions!$B$11</f>
        <v>1000</v>
      </c>
      <c r="D7" s="34">
        <f t="shared" si="0"/>
        <v>0</v>
      </c>
      <c r="E7" s="53">
        <v>0</v>
      </c>
      <c r="F7" s="3" t="str">
        <f t="shared" si="1"/>
        <v>OK</v>
      </c>
      <c r="G7" s="3" t="s">
        <v>62</v>
      </c>
    </row>
    <row r="8" spans="1:7" ht="16">
      <c r="A8" s="3" t="s">
        <v>338</v>
      </c>
      <c r="B8" s="34">
        <f>Summary!$A$5</f>
        <v>374.68872799999997</v>
      </c>
      <c r="C8" s="34">
        <f>'Model Cost'!$L$22</f>
        <v>374.68872799999997</v>
      </c>
      <c r="D8" s="34">
        <f t="shared" si="0"/>
        <v>0</v>
      </c>
      <c r="E8" s="53">
        <v>1E-4</v>
      </c>
      <c r="F8" s="3" t="str">
        <f t="shared" si="1"/>
        <v>OK</v>
      </c>
      <c r="G8" s="3" t="s">
        <v>339</v>
      </c>
    </row>
    <row r="9" spans="1:7" ht="16">
      <c r="A9" s="3" t="s">
        <v>340</v>
      </c>
      <c r="B9" s="34">
        <f>Summary!$C$5</f>
        <v>9.5808813683333334</v>
      </c>
      <c r="C9" s="34">
        <f>'Infra Cost'!$H$57</f>
        <v>9.5808813683333334</v>
      </c>
      <c r="D9" s="34">
        <f t="shared" si="0"/>
        <v>0</v>
      </c>
      <c r="E9" s="53">
        <v>1E-4</v>
      </c>
      <c r="F9" s="3" t="str">
        <f t="shared" si="1"/>
        <v>OK</v>
      </c>
      <c r="G9" s="3" t="s">
        <v>341</v>
      </c>
    </row>
    <row r="10" spans="1:7" ht="16">
      <c r="A10" s="3" t="s">
        <v>342</v>
      </c>
      <c r="B10" s="34">
        <f>Summary!$E$5</f>
        <v>384.26960936833331</v>
      </c>
      <c r="C10" s="34">
        <f>Summary!$A$5+Summary!$C$5</f>
        <v>384.26960936833331</v>
      </c>
      <c r="D10" s="34">
        <f t="shared" si="0"/>
        <v>0</v>
      </c>
      <c r="E10" s="53">
        <v>1E-4</v>
      </c>
      <c r="F10" s="3" t="str">
        <f t="shared" si="1"/>
        <v>OK</v>
      </c>
      <c r="G10" s="3" t="s">
        <v>343</v>
      </c>
    </row>
    <row r="11" spans="1:7" ht="16">
      <c r="A11" s="3" t="s">
        <v>344</v>
      </c>
      <c r="B11" s="34">
        <f>IF(Summary!$G$5&gt;=Summary!$E$5,1,0)</f>
        <v>0</v>
      </c>
      <c r="C11" s="34">
        <v>1</v>
      </c>
      <c r="D11" s="34">
        <f t="shared" si="0"/>
        <v>-1</v>
      </c>
      <c r="E11" s="53">
        <v>0</v>
      </c>
      <c r="F11" s="3" t="str">
        <f t="shared" si="1"/>
        <v>FAIL</v>
      </c>
      <c r="G11" s="3" t="s">
        <v>345</v>
      </c>
    </row>
    <row r="12" spans="1:7" ht="16">
      <c r="A12" s="3" t="s">
        <v>346</v>
      </c>
      <c r="B12" s="34">
        <f>MIN('Model Cost'!$L$14:$L$21)</f>
        <v>0</v>
      </c>
      <c r="C12" s="34">
        <v>0</v>
      </c>
      <c r="D12" s="34">
        <f t="shared" si="0"/>
        <v>0</v>
      </c>
      <c r="E12" s="53">
        <v>0</v>
      </c>
      <c r="F12" s="3" t="str">
        <f>IF(B12&gt;=C12,"OK","FAIL")</f>
        <v>OK</v>
      </c>
      <c r="G12" s="3" t="s">
        <v>347</v>
      </c>
    </row>
    <row r="13" spans="1:7" ht="16">
      <c r="A13" s="8" t="s">
        <v>348</v>
      </c>
      <c r="B13" s="54">
        <f>MIN('Infra Cost'!$H$30:$H$56)</f>
        <v>5.9999999999999995E-5</v>
      </c>
      <c r="C13" s="54">
        <v>0</v>
      </c>
      <c r="D13" s="54">
        <f t="shared" si="0"/>
        <v>5.9999999999999995E-5</v>
      </c>
      <c r="E13" s="55">
        <v>0</v>
      </c>
      <c r="F13" s="8" t="str">
        <f>IF(B13&gt;=C13,"OK","FAIL")</f>
        <v>OK</v>
      </c>
      <c r="G13" s="8" t="s">
        <v>349</v>
      </c>
    </row>
  </sheetData>
  <mergeCells count="2">
    <mergeCell ref="A1:G1"/>
    <mergeCell ref="C2:G2"/>
  </mergeCells>
  <conditionalFormatting sqref="B2">
    <cfRule type="containsText" dxfId="3" priority="3" operator="containsText" text="PASS"/>
    <cfRule type="containsText" dxfId="2" priority="4" operator="containsText" text="FAIL"/>
  </conditionalFormatting>
  <conditionalFormatting sqref="F6:F13">
    <cfRule type="containsText" dxfId="1" priority="1" operator="containsText" text="OK"/>
    <cfRule type="containsText" dxfId="0" priority="2" operator="containsText" text="FAIL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sqref="A1:F1"/>
    </sheetView>
  </sheetViews>
  <sheetFormatPr baseColWidth="10" defaultColWidth="8.83203125" defaultRowHeight="14"/>
  <cols>
    <col min="1" max="1" width="16" customWidth="1"/>
    <col min="2" max="2" width="28" customWidth="1"/>
    <col min="3" max="3" width="46" customWidth="1"/>
    <col min="4" max="4" width="78" customWidth="1"/>
    <col min="5" max="5" width="14" customWidth="1"/>
    <col min="6" max="6" width="46" customWidth="1"/>
  </cols>
  <sheetData>
    <row r="1" spans="1:6" ht="45.25" customHeight="1">
      <c r="A1" s="58" t="s">
        <v>350</v>
      </c>
      <c r="B1" s="58" t="s">
        <v>350</v>
      </c>
      <c r="C1" s="58" t="s">
        <v>350</v>
      </c>
      <c r="D1" s="58" t="s">
        <v>350</v>
      </c>
      <c r="E1" s="58" t="s">
        <v>350</v>
      </c>
      <c r="F1" s="58" t="s">
        <v>350</v>
      </c>
    </row>
    <row r="2" spans="1:6" ht="40" customHeight="1">
      <c r="A2" s="59" t="s">
        <v>351</v>
      </c>
      <c r="B2" s="59" t="s">
        <v>351</v>
      </c>
      <c r="C2" s="59" t="s">
        <v>351</v>
      </c>
      <c r="D2" s="59" t="s">
        <v>351</v>
      </c>
      <c r="E2" s="59" t="s">
        <v>351</v>
      </c>
      <c r="F2" s="59" t="s">
        <v>351</v>
      </c>
    </row>
    <row r="3" spans="1:6" ht="15">
      <c r="A3" s="2"/>
      <c r="B3" s="2"/>
      <c r="C3" s="2"/>
      <c r="D3" s="2"/>
      <c r="E3" s="2"/>
      <c r="F3" s="2"/>
    </row>
    <row r="4" spans="1:6" ht="16">
      <c r="A4" s="1" t="s">
        <v>352</v>
      </c>
      <c r="B4" s="1" t="s">
        <v>353</v>
      </c>
      <c r="C4" s="1" t="s">
        <v>354</v>
      </c>
      <c r="D4" s="1" t="s">
        <v>355</v>
      </c>
      <c r="E4" s="1" t="s">
        <v>356</v>
      </c>
      <c r="F4" s="1" t="s">
        <v>242</v>
      </c>
    </row>
    <row r="5" spans="1:6" ht="16">
      <c r="A5" s="3" t="s">
        <v>357</v>
      </c>
      <c r="B5" s="3" t="s">
        <v>358</v>
      </c>
      <c r="C5" s="3" t="s">
        <v>359</v>
      </c>
      <c r="D5" s="3" t="s">
        <v>360</v>
      </c>
      <c r="E5" s="56">
        <v>46231</v>
      </c>
      <c r="F5" s="3" t="s">
        <v>361</v>
      </c>
    </row>
    <row r="6" spans="1:6" ht="32">
      <c r="A6" s="3" t="s">
        <v>357</v>
      </c>
      <c r="B6" s="3" t="s">
        <v>362</v>
      </c>
      <c r="C6" s="3" t="s">
        <v>363</v>
      </c>
      <c r="D6" s="3" t="s">
        <v>364</v>
      </c>
      <c r="E6" s="56">
        <v>46231</v>
      </c>
      <c r="F6" s="3" t="s">
        <v>365</v>
      </c>
    </row>
    <row r="7" spans="1:6" ht="16">
      <c r="A7" s="3" t="s">
        <v>357</v>
      </c>
      <c r="B7" s="3" t="s">
        <v>366</v>
      </c>
      <c r="C7" s="3" t="s">
        <v>367</v>
      </c>
      <c r="D7" s="3" t="s">
        <v>368</v>
      </c>
      <c r="E7" s="56">
        <v>46231</v>
      </c>
      <c r="F7" s="3" t="s">
        <v>369</v>
      </c>
    </row>
    <row r="8" spans="1:6" ht="32">
      <c r="A8" s="3" t="s">
        <v>357</v>
      </c>
      <c r="B8" s="3" t="s">
        <v>370</v>
      </c>
      <c r="C8" s="3" t="s">
        <v>371</v>
      </c>
      <c r="D8" s="3" t="s">
        <v>372</v>
      </c>
      <c r="E8" s="56">
        <v>46231</v>
      </c>
      <c r="F8" s="3" t="s">
        <v>373</v>
      </c>
    </row>
    <row r="9" spans="1:6" ht="32">
      <c r="A9" s="3" t="s">
        <v>374</v>
      </c>
      <c r="B9" s="3" t="s">
        <v>375</v>
      </c>
      <c r="C9" s="3" t="s">
        <v>376</v>
      </c>
      <c r="D9" s="3" t="s">
        <v>377</v>
      </c>
      <c r="E9" s="56">
        <v>46231</v>
      </c>
      <c r="F9" s="3" t="s">
        <v>378</v>
      </c>
    </row>
    <row r="10" spans="1:6" ht="32">
      <c r="A10" s="3" t="s">
        <v>374</v>
      </c>
      <c r="B10" s="3" t="s">
        <v>33</v>
      </c>
      <c r="C10" s="3" t="s">
        <v>379</v>
      </c>
      <c r="D10" s="3" t="s">
        <v>380</v>
      </c>
      <c r="E10" s="56">
        <v>46231</v>
      </c>
      <c r="F10" s="3" t="s">
        <v>381</v>
      </c>
    </row>
    <row r="11" spans="1:6" ht="32">
      <c r="A11" s="3" t="s">
        <v>374</v>
      </c>
      <c r="B11" s="3" t="s">
        <v>382</v>
      </c>
      <c r="C11" s="3" t="s">
        <v>383</v>
      </c>
      <c r="D11" s="3" t="s">
        <v>384</v>
      </c>
      <c r="E11" s="56">
        <v>46231</v>
      </c>
      <c r="F11" s="3" t="s">
        <v>385</v>
      </c>
    </row>
    <row r="12" spans="1:6" ht="16">
      <c r="A12" s="3" t="s">
        <v>374</v>
      </c>
      <c r="B12" s="3" t="s">
        <v>386</v>
      </c>
      <c r="C12" s="3" t="s">
        <v>387</v>
      </c>
      <c r="D12" s="3" t="s">
        <v>388</v>
      </c>
      <c r="E12" s="56">
        <v>46231</v>
      </c>
      <c r="F12" s="3" t="s">
        <v>389</v>
      </c>
    </row>
    <row r="13" spans="1:6" ht="16">
      <c r="A13" s="3" t="s">
        <v>374</v>
      </c>
      <c r="B13" s="3" t="s">
        <v>390</v>
      </c>
      <c r="C13" s="3" t="s">
        <v>391</v>
      </c>
      <c r="D13" s="3" t="s">
        <v>392</v>
      </c>
      <c r="E13" s="56">
        <v>46231</v>
      </c>
      <c r="F13" s="3" t="s">
        <v>393</v>
      </c>
    </row>
    <row r="14" spans="1:6" ht="16">
      <c r="A14" s="3" t="s">
        <v>374</v>
      </c>
      <c r="B14" s="3" t="s">
        <v>203</v>
      </c>
      <c r="C14" s="3" t="s">
        <v>394</v>
      </c>
      <c r="D14" s="3" t="s">
        <v>395</v>
      </c>
      <c r="E14" s="56">
        <v>46231</v>
      </c>
      <c r="F14" s="3" t="s">
        <v>396</v>
      </c>
    </row>
    <row r="15" spans="1:6" ht="16">
      <c r="A15" s="3" t="s">
        <v>374</v>
      </c>
      <c r="B15" s="3" t="s">
        <v>397</v>
      </c>
      <c r="C15" s="3" t="s">
        <v>398</v>
      </c>
      <c r="D15" s="3" t="s">
        <v>399</v>
      </c>
      <c r="E15" s="56">
        <v>46231</v>
      </c>
      <c r="F15" s="3" t="s">
        <v>400</v>
      </c>
    </row>
    <row r="16" spans="1:6" ht="16">
      <c r="A16" s="3" t="s">
        <v>374</v>
      </c>
      <c r="B16" s="3" t="s">
        <v>401</v>
      </c>
      <c r="C16" s="3" t="s">
        <v>402</v>
      </c>
      <c r="D16" s="3" t="s">
        <v>403</v>
      </c>
      <c r="E16" s="56">
        <v>46231</v>
      </c>
      <c r="F16" s="3" t="s">
        <v>404</v>
      </c>
    </row>
    <row r="17" spans="1:6" ht="16">
      <c r="A17" s="3" t="s">
        <v>374</v>
      </c>
      <c r="B17" s="3" t="s">
        <v>405</v>
      </c>
      <c r="C17" s="3" t="s">
        <v>406</v>
      </c>
      <c r="D17" s="3" t="s">
        <v>407</v>
      </c>
      <c r="E17" s="56">
        <v>46231</v>
      </c>
      <c r="F17" s="3" t="s">
        <v>408</v>
      </c>
    </row>
    <row r="18" spans="1:6" ht="16">
      <c r="A18" s="3" t="s">
        <v>374</v>
      </c>
      <c r="B18" s="3" t="s">
        <v>409</v>
      </c>
      <c r="C18" s="3" t="s">
        <v>410</v>
      </c>
      <c r="D18" s="3" t="s">
        <v>411</v>
      </c>
      <c r="E18" s="56">
        <v>46231</v>
      </c>
      <c r="F18" s="3" t="s">
        <v>412</v>
      </c>
    </row>
    <row r="19" spans="1:6" ht="16">
      <c r="A19" s="3" t="s">
        <v>374</v>
      </c>
      <c r="B19" s="3" t="s">
        <v>413</v>
      </c>
      <c r="C19" s="3" t="s">
        <v>414</v>
      </c>
      <c r="D19" s="3" t="s">
        <v>415</v>
      </c>
      <c r="E19" s="56">
        <v>46231</v>
      </c>
      <c r="F19" s="3" t="s">
        <v>416</v>
      </c>
    </row>
    <row r="20" spans="1:6" ht="32">
      <c r="A20" s="3" t="s">
        <v>374</v>
      </c>
      <c r="B20" s="3" t="s">
        <v>417</v>
      </c>
      <c r="C20" s="3" t="s">
        <v>418</v>
      </c>
      <c r="D20" s="3" t="s">
        <v>419</v>
      </c>
      <c r="E20" s="56">
        <v>46231</v>
      </c>
      <c r="F20" s="3" t="s">
        <v>420</v>
      </c>
    </row>
    <row r="21" spans="1:6" ht="32">
      <c r="A21" s="8" t="s">
        <v>421</v>
      </c>
      <c r="B21" s="8" t="s">
        <v>422</v>
      </c>
      <c r="C21" s="8" t="s">
        <v>423</v>
      </c>
      <c r="D21" s="8" t="s">
        <v>424</v>
      </c>
      <c r="E21" s="57">
        <v>46231</v>
      </c>
      <c r="F21" s="8" t="s">
        <v>425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Assumptions</vt:lpstr>
      <vt:lpstr>Model Cost</vt:lpstr>
      <vt:lpstr>Infra Cost</vt:lpstr>
      <vt:lpstr>Sensitivity</vt:lpstr>
      <vt:lpstr>Scenario Comparison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Lunkad, Abhay</cp:lastModifiedBy>
  <dcterms:modified xsi:type="dcterms:W3CDTF">2026-07-27T22:05:24Z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2026-07-27T22:03:21Z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37ef2250-e911-40f0-961d-b62e365fa0f3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50, 3, 0, 1</vt:lpwstr>
  </property>
</Properties>
</file>